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nexdata\Downloads\"/>
    </mc:Choice>
  </mc:AlternateContent>
  <xr:revisionPtr revIDLastSave="0" documentId="8_{ACFD1DB3-FB6A-4C3C-A76E-F3BA44CEE410}" xr6:coauthVersionLast="47" xr6:coauthVersionMax="47" xr10:uidLastSave="{00000000-0000-0000-0000-000000000000}"/>
  <bookViews>
    <workbookView xWindow="-90" yWindow="-90" windowWidth="19380" windowHeight="10260" tabRatio="500" activeTab="1" xr2:uid="{00000000-000D-0000-FFFF-FFFF00000000}"/>
  </bookViews>
  <sheets>
    <sheet name="Cómo completar" sheetId="1" r:id="rId1"/>
    <sheet name="Presupuesto" sheetId="2" r:id="rId2"/>
    <sheet name="Resumen" sheetId="3" r:id="rId3"/>
    <sheet name="Listas" sheetId="4" state="hidden" r:id="rId4"/>
  </sheets>
  <definedNames>
    <definedName name="_xlnm._FilterDatabase" localSheetId="1" hidden="1">Presupuesto!$A$8:$L$1008</definedName>
    <definedName name="_xlnm.Print_Area" localSheetId="1">Presupuesto!$A$1:$L$1008</definedName>
    <definedName name="_xlnm.Print_Titles" localSheetId="1">Presupuesto!$8:$8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3" l="1"/>
  <c r="N1008" i="2"/>
  <c r="A1008" i="2" s="1"/>
  <c r="N1007" i="2"/>
  <c r="J1007" i="2" s="1"/>
  <c r="M1007" i="2"/>
  <c r="O1007" i="2" s="1"/>
  <c r="L1007" i="2"/>
  <c r="I1007" i="2"/>
  <c r="A1007" i="2"/>
  <c r="N1006" i="2"/>
  <c r="A1006" i="2" s="1"/>
  <c r="J1006" i="2"/>
  <c r="N1005" i="2"/>
  <c r="A1005" i="2" s="1"/>
  <c r="L1005" i="2"/>
  <c r="N1004" i="2"/>
  <c r="I1004" i="2"/>
  <c r="N1003" i="2"/>
  <c r="M1003" i="2"/>
  <c r="O1003" i="2" s="1"/>
  <c r="L1003" i="2"/>
  <c r="J1003" i="2"/>
  <c r="I1003" i="2"/>
  <c r="A1003" i="2"/>
  <c r="O1002" i="2"/>
  <c r="N1002" i="2"/>
  <c r="M1002" i="2"/>
  <c r="L1002" i="2"/>
  <c r="J1002" i="2"/>
  <c r="I1002" i="2"/>
  <c r="A1002" i="2"/>
  <c r="N1001" i="2"/>
  <c r="I1001" i="2"/>
  <c r="A1001" i="2"/>
  <c r="N1000" i="2"/>
  <c r="L1000" i="2" s="1"/>
  <c r="J1000" i="2"/>
  <c r="N999" i="2"/>
  <c r="A999" i="2"/>
  <c r="N998" i="2"/>
  <c r="I998" i="2" s="1"/>
  <c r="M998" i="2"/>
  <c r="O998" i="2" s="1"/>
  <c r="L998" i="2"/>
  <c r="J998" i="2"/>
  <c r="A998" i="2"/>
  <c r="N997" i="2"/>
  <c r="J997" i="2"/>
  <c r="I997" i="2"/>
  <c r="N996" i="2"/>
  <c r="M996" i="2" s="1"/>
  <c r="O996" i="2" s="1"/>
  <c r="L996" i="2"/>
  <c r="A996" i="2"/>
  <c r="N995" i="2"/>
  <c r="I995" i="2"/>
  <c r="N994" i="2"/>
  <c r="M994" i="2"/>
  <c r="O994" i="2" s="1"/>
  <c r="L994" i="2"/>
  <c r="J994" i="2"/>
  <c r="I994" i="2"/>
  <c r="A994" i="2"/>
  <c r="O993" i="2"/>
  <c r="N993" i="2"/>
  <c r="M993" i="2" s="1"/>
  <c r="L993" i="2"/>
  <c r="J993" i="2"/>
  <c r="I993" i="2"/>
  <c r="A993" i="2"/>
  <c r="N992" i="2"/>
  <c r="I992" i="2"/>
  <c r="A992" i="2"/>
  <c r="N991" i="2"/>
  <c r="J991" i="2" s="1"/>
  <c r="L991" i="2"/>
  <c r="N990" i="2"/>
  <c r="N989" i="2"/>
  <c r="A989" i="2" s="1"/>
  <c r="M989" i="2"/>
  <c r="O989" i="2" s="1"/>
  <c r="L989" i="2"/>
  <c r="J989" i="2"/>
  <c r="I989" i="2"/>
  <c r="N988" i="2"/>
  <c r="N987" i="2"/>
  <c r="L987" i="2"/>
  <c r="A987" i="2"/>
  <c r="N986" i="2"/>
  <c r="M986" i="2"/>
  <c r="O986" i="2" s="1"/>
  <c r="L986" i="2"/>
  <c r="J986" i="2"/>
  <c r="I986" i="2"/>
  <c r="A986" i="2"/>
  <c r="N985" i="2"/>
  <c r="J985" i="2"/>
  <c r="A985" i="2"/>
  <c r="N984" i="2"/>
  <c r="L984" i="2" s="1"/>
  <c r="M984" i="2"/>
  <c r="O984" i="2" s="1"/>
  <c r="J984" i="2"/>
  <c r="I984" i="2"/>
  <c r="A984" i="2"/>
  <c r="N983" i="2"/>
  <c r="I983" i="2"/>
  <c r="A983" i="2"/>
  <c r="N982" i="2"/>
  <c r="L982" i="2"/>
  <c r="N981" i="2"/>
  <c r="I981" i="2" s="1"/>
  <c r="L981" i="2"/>
  <c r="N980" i="2"/>
  <c r="M980" i="2"/>
  <c r="O980" i="2" s="1"/>
  <c r="L980" i="2"/>
  <c r="J980" i="2"/>
  <c r="I980" i="2"/>
  <c r="A980" i="2"/>
  <c r="N979" i="2"/>
  <c r="J979" i="2" s="1"/>
  <c r="I979" i="2"/>
  <c r="O978" i="2"/>
  <c r="N978" i="2"/>
  <c r="M978" i="2"/>
  <c r="L978" i="2"/>
  <c r="J978" i="2"/>
  <c r="I978" i="2"/>
  <c r="A978" i="2"/>
  <c r="N977" i="2"/>
  <c r="J977" i="2"/>
  <c r="N976" i="2"/>
  <c r="J976" i="2"/>
  <c r="A976" i="2"/>
  <c r="N975" i="2"/>
  <c r="J975" i="2" s="1"/>
  <c r="M975" i="2"/>
  <c r="O975" i="2" s="1"/>
  <c r="L975" i="2"/>
  <c r="I975" i="2"/>
  <c r="A975" i="2"/>
  <c r="N974" i="2"/>
  <c r="J974" i="2"/>
  <c r="A974" i="2"/>
  <c r="N973" i="2"/>
  <c r="L973" i="2" s="1"/>
  <c r="N972" i="2"/>
  <c r="N971" i="2"/>
  <c r="M971" i="2"/>
  <c r="O971" i="2" s="1"/>
  <c r="L971" i="2"/>
  <c r="J971" i="2"/>
  <c r="I971" i="2"/>
  <c r="A971" i="2"/>
  <c r="O970" i="2"/>
  <c r="N970" i="2"/>
  <c r="M970" i="2"/>
  <c r="L970" i="2"/>
  <c r="J970" i="2"/>
  <c r="I970" i="2"/>
  <c r="A970" i="2"/>
  <c r="N969" i="2"/>
  <c r="N968" i="2"/>
  <c r="J968" i="2"/>
  <c r="N967" i="2"/>
  <c r="L967" i="2"/>
  <c r="A967" i="2"/>
  <c r="N966" i="2"/>
  <c r="I966" i="2" s="1"/>
  <c r="M966" i="2"/>
  <c r="O966" i="2" s="1"/>
  <c r="L966" i="2"/>
  <c r="J966" i="2"/>
  <c r="A966" i="2"/>
  <c r="N965" i="2"/>
  <c r="J965" i="2"/>
  <c r="I965" i="2"/>
  <c r="N964" i="2"/>
  <c r="L964" i="2"/>
  <c r="A964" i="2"/>
  <c r="N963" i="2"/>
  <c r="I963" i="2" s="1"/>
  <c r="L963" i="2"/>
  <c r="N962" i="2"/>
  <c r="M962" i="2"/>
  <c r="O962" i="2" s="1"/>
  <c r="L962" i="2"/>
  <c r="J962" i="2"/>
  <c r="I962" i="2"/>
  <c r="A962" i="2"/>
  <c r="O961" i="2"/>
  <c r="N961" i="2"/>
  <c r="M961" i="2" s="1"/>
  <c r="L961" i="2"/>
  <c r="J961" i="2"/>
  <c r="I961" i="2"/>
  <c r="A961" i="2"/>
  <c r="N960" i="2"/>
  <c r="I960" i="2"/>
  <c r="A960" i="2"/>
  <c r="N959" i="2"/>
  <c r="L959" i="2"/>
  <c r="N958" i="2"/>
  <c r="L958" i="2"/>
  <c r="A958" i="2"/>
  <c r="N957" i="2"/>
  <c r="A957" i="2" s="1"/>
  <c r="M957" i="2"/>
  <c r="O957" i="2" s="1"/>
  <c r="L957" i="2"/>
  <c r="J957" i="2"/>
  <c r="I957" i="2"/>
  <c r="N956" i="2"/>
  <c r="J956" i="2"/>
  <c r="I956" i="2"/>
  <c r="N955" i="2"/>
  <c r="A955" i="2" s="1"/>
  <c r="L955" i="2"/>
  <c r="O954" i="2"/>
  <c r="N954" i="2"/>
  <c r="M954" i="2"/>
  <c r="L954" i="2"/>
  <c r="J954" i="2"/>
  <c r="I954" i="2"/>
  <c r="A954" i="2"/>
  <c r="N953" i="2"/>
  <c r="J953" i="2"/>
  <c r="N952" i="2"/>
  <c r="L952" i="2" s="1"/>
  <c r="M952" i="2"/>
  <c r="O952" i="2" s="1"/>
  <c r="J952" i="2"/>
  <c r="I952" i="2"/>
  <c r="A952" i="2"/>
  <c r="N951" i="2"/>
  <c r="N950" i="2"/>
  <c r="L950" i="2"/>
  <c r="N949" i="2"/>
  <c r="I949" i="2"/>
  <c r="N948" i="2"/>
  <c r="M948" i="2"/>
  <c r="O948" i="2" s="1"/>
  <c r="L948" i="2"/>
  <c r="J948" i="2"/>
  <c r="I948" i="2"/>
  <c r="A948" i="2"/>
  <c r="N947" i="2"/>
  <c r="J947" i="2"/>
  <c r="I947" i="2"/>
  <c r="N946" i="2"/>
  <c r="M946" i="2"/>
  <c r="O946" i="2" s="1"/>
  <c r="L946" i="2"/>
  <c r="J946" i="2"/>
  <c r="I946" i="2"/>
  <c r="A946" i="2"/>
  <c r="N945" i="2"/>
  <c r="N944" i="2"/>
  <c r="J944" i="2"/>
  <c r="A944" i="2"/>
  <c r="N943" i="2"/>
  <c r="J943" i="2" s="1"/>
  <c r="M943" i="2"/>
  <c r="O943" i="2" s="1"/>
  <c r="L943" i="2"/>
  <c r="I943" i="2"/>
  <c r="A943" i="2"/>
  <c r="N942" i="2"/>
  <c r="J942" i="2"/>
  <c r="A942" i="2"/>
  <c r="N941" i="2"/>
  <c r="L941" i="2"/>
  <c r="N940" i="2"/>
  <c r="L940" i="2"/>
  <c r="I940" i="2"/>
  <c r="N939" i="2"/>
  <c r="M939" i="2"/>
  <c r="O939" i="2" s="1"/>
  <c r="L939" i="2"/>
  <c r="J939" i="2"/>
  <c r="I939" i="2"/>
  <c r="A939" i="2"/>
  <c r="O938" i="2"/>
  <c r="N938" i="2"/>
  <c r="M938" i="2"/>
  <c r="L938" i="2"/>
  <c r="J938" i="2"/>
  <c r="I938" i="2"/>
  <c r="A938" i="2"/>
  <c r="N937" i="2"/>
  <c r="I937" i="2"/>
  <c r="A937" i="2"/>
  <c r="N936" i="2"/>
  <c r="J936" i="2"/>
  <c r="N935" i="2"/>
  <c r="L935" i="2"/>
  <c r="N934" i="2"/>
  <c r="I934" i="2" s="1"/>
  <c r="M934" i="2"/>
  <c r="O934" i="2" s="1"/>
  <c r="L934" i="2"/>
  <c r="J934" i="2"/>
  <c r="A934" i="2"/>
  <c r="N933" i="2"/>
  <c r="N932" i="2"/>
  <c r="L932" i="2"/>
  <c r="A932" i="2"/>
  <c r="N931" i="2"/>
  <c r="N930" i="2"/>
  <c r="M930" i="2"/>
  <c r="O930" i="2" s="1"/>
  <c r="L930" i="2"/>
  <c r="J930" i="2"/>
  <c r="I930" i="2"/>
  <c r="A930" i="2"/>
  <c r="O929" i="2"/>
  <c r="N929" i="2"/>
  <c r="M929" i="2" s="1"/>
  <c r="L929" i="2"/>
  <c r="J929" i="2"/>
  <c r="I929" i="2"/>
  <c r="A929" i="2"/>
  <c r="N928" i="2"/>
  <c r="I928" i="2"/>
  <c r="N927" i="2"/>
  <c r="N926" i="2"/>
  <c r="L926" i="2"/>
  <c r="A926" i="2"/>
  <c r="N925" i="2"/>
  <c r="A925" i="2" s="1"/>
  <c r="M925" i="2"/>
  <c r="O925" i="2" s="1"/>
  <c r="L925" i="2"/>
  <c r="J925" i="2"/>
  <c r="I925" i="2"/>
  <c r="N924" i="2"/>
  <c r="J924" i="2"/>
  <c r="I924" i="2"/>
  <c r="N923" i="2"/>
  <c r="A923" i="2"/>
  <c r="O922" i="2"/>
  <c r="N922" i="2"/>
  <c r="L922" i="2" s="1"/>
  <c r="M922" i="2"/>
  <c r="J922" i="2"/>
  <c r="N921" i="2"/>
  <c r="I921" i="2"/>
  <c r="N920" i="2"/>
  <c r="N919" i="2"/>
  <c r="M919" i="2"/>
  <c r="O919" i="2" s="1"/>
  <c r="L919" i="2"/>
  <c r="J919" i="2"/>
  <c r="I919" i="2"/>
  <c r="A919" i="2"/>
  <c r="N918" i="2"/>
  <c r="M918" i="2" s="1"/>
  <c r="O918" i="2" s="1"/>
  <c r="L918" i="2"/>
  <c r="J918" i="2"/>
  <c r="I918" i="2"/>
  <c r="A918" i="2"/>
  <c r="N917" i="2"/>
  <c r="N916" i="2"/>
  <c r="J916" i="2" s="1"/>
  <c r="M916" i="2"/>
  <c r="O916" i="2" s="1"/>
  <c r="L916" i="2"/>
  <c r="I916" i="2"/>
  <c r="A916" i="2"/>
  <c r="N915" i="2"/>
  <c r="L915" i="2"/>
  <c r="A915" i="2"/>
  <c r="O914" i="2"/>
  <c r="N914" i="2"/>
  <c r="L914" i="2" s="1"/>
  <c r="M914" i="2"/>
  <c r="J914" i="2"/>
  <c r="N913" i="2"/>
  <c r="L913" i="2"/>
  <c r="I913" i="2"/>
  <c r="N912" i="2"/>
  <c r="N911" i="2"/>
  <c r="J911" i="2" s="1"/>
  <c r="M911" i="2"/>
  <c r="O911" i="2" s="1"/>
  <c r="L911" i="2"/>
  <c r="I911" i="2"/>
  <c r="O910" i="2"/>
  <c r="N910" i="2"/>
  <c r="M910" i="2"/>
  <c r="L910" i="2"/>
  <c r="J910" i="2"/>
  <c r="I910" i="2"/>
  <c r="A910" i="2"/>
  <c r="N909" i="2"/>
  <c r="M909" i="2" s="1"/>
  <c r="O909" i="2" s="1"/>
  <c r="L909" i="2"/>
  <c r="J909" i="2"/>
  <c r="I909" i="2"/>
  <c r="A909" i="2"/>
  <c r="O908" i="2"/>
  <c r="N908" i="2"/>
  <c r="M908" i="2"/>
  <c r="L908" i="2"/>
  <c r="J908" i="2"/>
  <c r="I908" i="2"/>
  <c r="A908" i="2"/>
  <c r="N907" i="2"/>
  <c r="A907" i="2"/>
  <c r="O906" i="2"/>
  <c r="N906" i="2"/>
  <c r="L906" i="2" s="1"/>
  <c r="M906" i="2"/>
  <c r="J906" i="2"/>
  <c r="N905" i="2"/>
  <c r="M905" i="2"/>
  <c r="O905" i="2" s="1"/>
  <c r="J905" i="2"/>
  <c r="I905" i="2"/>
  <c r="N904" i="2"/>
  <c r="M904" i="2"/>
  <c r="O904" i="2" s="1"/>
  <c r="L904" i="2"/>
  <c r="J904" i="2"/>
  <c r="I904" i="2"/>
  <c r="A904" i="2"/>
  <c r="N903" i="2"/>
  <c r="M903" i="2"/>
  <c r="O903" i="2" s="1"/>
  <c r="L903" i="2"/>
  <c r="J903" i="2"/>
  <c r="I903" i="2"/>
  <c r="A903" i="2"/>
  <c r="O902" i="2"/>
  <c r="N902" i="2"/>
  <c r="M902" i="2"/>
  <c r="L902" i="2"/>
  <c r="J902" i="2"/>
  <c r="I902" i="2"/>
  <c r="A902" i="2"/>
  <c r="N901" i="2"/>
  <c r="I901" i="2" s="1"/>
  <c r="A901" i="2"/>
  <c r="N900" i="2"/>
  <c r="A900" i="2" s="1"/>
  <c r="M900" i="2"/>
  <c r="O900" i="2" s="1"/>
  <c r="O899" i="2"/>
  <c r="N899" i="2"/>
  <c r="J899" i="2" s="1"/>
  <c r="M899" i="2"/>
  <c r="L899" i="2"/>
  <c r="N898" i="2"/>
  <c r="J898" i="2" s="1"/>
  <c r="L898" i="2"/>
  <c r="N897" i="2"/>
  <c r="M897" i="2"/>
  <c r="O897" i="2" s="1"/>
  <c r="N896" i="2"/>
  <c r="M896" i="2"/>
  <c r="O896" i="2" s="1"/>
  <c r="L896" i="2"/>
  <c r="J896" i="2"/>
  <c r="I896" i="2"/>
  <c r="A896" i="2"/>
  <c r="N895" i="2"/>
  <c r="M895" i="2"/>
  <c r="O895" i="2" s="1"/>
  <c r="L895" i="2"/>
  <c r="J895" i="2"/>
  <c r="I895" i="2"/>
  <c r="A895" i="2"/>
  <c r="O894" i="2"/>
  <c r="N894" i="2"/>
  <c r="M894" i="2"/>
  <c r="L894" i="2"/>
  <c r="J894" i="2"/>
  <c r="I894" i="2"/>
  <c r="A894" i="2"/>
  <c r="N893" i="2"/>
  <c r="I893" i="2"/>
  <c r="N892" i="2"/>
  <c r="M892" i="2"/>
  <c r="O892" i="2" s="1"/>
  <c r="A892" i="2"/>
  <c r="O891" i="2"/>
  <c r="N891" i="2"/>
  <c r="J891" i="2" s="1"/>
  <c r="M891" i="2"/>
  <c r="L891" i="2"/>
  <c r="N890" i="2"/>
  <c r="L890" i="2"/>
  <c r="J890" i="2"/>
  <c r="N889" i="2"/>
  <c r="I889" i="2" s="1"/>
  <c r="N888" i="2"/>
  <c r="M888" i="2"/>
  <c r="O888" i="2" s="1"/>
  <c r="L888" i="2"/>
  <c r="J888" i="2"/>
  <c r="I888" i="2"/>
  <c r="A888" i="2"/>
  <c r="N887" i="2"/>
  <c r="M887" i="2"/>
  <c r="O887" i="2" s="1"/>
  <c r="L887" i="2"/>
  <c r="J887" i="2"/>
  <c r="I887" i="2"/>
  <c r="A887" i="2"/>
  <c r="O886" i="2"/>
  <c r="N886" i="2"/>
  <c r="M886" i="2"/>
  <c r="L886" i="2"/>
  <c r="J886" i="2"/>
  <c r="I886" i="2"/>
  <c r="A886" i="2"/>
  <c r="N885" i="2"/>
  <c r="N884" i="2"/>
  <c r="N883" i="2"/>
  <c r="J883" i="2" s="1"/>
  <c r="M883" i="2"/>
  <c r="O883" i="2" s="1"/>
  <c r="L883" i="2"/>
  <c r="N882" i="2"/>
  <c r="N881" i="2"/>
  <c r="M881" i="2"/>
  <c r="O881" i="2" s="1"/>
  <c r="J881" i="2"/>
  <c r="I881" i="2"/>
  <c r="N880" i="2"/>
  <c r="M880" i="2"/>
  <c r="O880" i="2" s="1"/>
  <c r="L880" i="2"/>
  <c r="J880" i="2"/>
  <c r="I880" i="2"/>
  <c r="A880" i="2"/>
  <c r="N879" i="2"/>
  <c r="M879" i="2"/>
  <c r="O879" i="2" s="1"/>
  <c r="L879" i="2"/>
  <c r="J879" i="2"/>
  <c r="I879" i="2"/>
  <c r="A879" i="2"/>
  <c r="O878" i="2"/>
  <c r="N878" i="2"/>
  <c r="M878" i="2"/>
  <c r="L878" i="2"/>
  <c r="J878" i="2"/>
  <c r="I878" i="2"/>
  <c r="A878" i="2"/>
  <c r="N877" i="2"/>
  <c r="I877" i="2"/>
  <c r="A877" i="2"/>
  <c r="N876" i="2"/>
  <c r="M876" i="2" s="1"/>
  <c r="O876" i="2" s="1"/>
  <c r="A876" i="2"/>
  <c r="N875" i="2"/>
  <c r="J875" i="2" s="1"/>
  <c r="M875" i="2"/>
  <c r="O875" i="2" s="1"/>
  <c r="L875" i="2"/>
  <c r="N874" i="2"/>
  <c r="L874" i="2" s="1"/>
  <c r="J874" i="2"/>
  <c r="N873" i="2"/>
  <c r="M873" i="2"/>
  <c r="O873" i="2" s="1"/>
  <c r="J873" i="2"/>
  <c r="I873" i="2"/>
  <c r="N872" i="2"/>
  <c r="M872" i="2"/>
  <c r="O872" i="2" s="1"/>
  <c r="L872" i="2"/>
  <c r="J872" i="2"/>
  <c r="I872" i="2"/>
  <c r="A872" i="2"/>
  <c r="N871" i="2"/>
  <c r="M871" i="2"/>
  <c r="O871" i="2" s="1"/>
  <c r="L871" i="2"/>
  <c r="J871" i="2"/>
  <c r="I871" i="2"/>
  <c r="A871" i="2"/>
  <c r="O870" i="2"/>
  <c r="N870" i="2"/>
  <c r="M870" i="2"/>
  <c r="L870" i="2"/>
  <c r="J870" i="2"/>
  <c r="I870" i="2"/>
  <c r="A870" i="2"/>
  <c r="N869" i="2"/>
  <c r="I869" i="2"/>
  <c r="A869" i="2"/>
  <c r="N868" i="2"/>
  <c r="A868" i="2" s="1"/>
  <c r="M868" i="2"/>
  <c r="O868" i="2" s="1"/>
  <c r="O867" i="2"/>
  <c r="N867" i="2"/>
  <c r="J867" i="2" s="1"/>
  <c r="M867" i="2"/>
  <c r="L867" i="2"/>
  <c r="N866" i="2"/>
  <c r="J866" i="2" s="1"/>
  <c r="L866" i="2"/>
  <c r="N865" i="2"/>
  <c r="M865" i="2"/>
  <c r="O865" i="2" s="1"/>
  <c r="N864" i="2"/>
  <c r="M864" i="2"/>
  <c r="O864" i="2" s="1"/>
  <c r="L864" i="2"/>
  <c r="J864" i="2"/>
  <c r="I864" i="2"/>
  <c r="A864" i="2"/>
  <c r="N863" i="2"/>
  <c r="M863" i="2"/>
  <c r="O863" i="2" s="1"/>
  <c r="L863" i="2"/>
  <c r="J863" i="2"/>
  <c r="I863" i="2"/>
  <c r="A863" i="2"/>
  <c r="O862" i="2"/>
  <c r="N862" i="2"/>
  <c r="M862" i="2"/>
  <c r="L862" i="2"/>
  <c r="J862" i="2"/>
  <c r="I862" i="2"/>
  <c r="A862" i="2"/>
  <c r="N861" i="2"/>
  <c r="I861" i="2"/>
  <c r="N860" i="2"/>
  <c r="M860" i="2"/>
  <c r="O860" i="2" s="1"/>
  <c r="A860" i="2"/>
  <c r="O859" i="2"/>
  <c r="N859" i="2"/>
  <c r="J859" i="2" s="1"/>
  <c r="M859" i="2"/>
  <c r="L859" i="2"/>
  <c r="N858" i="2"/>
  <c r="L858" i="2"/>
  <c r="J858" i="2"/>
  <c r="N857" i="2"/>
  <c r="J857" i="2"/>
  <c r="N856" i="2"/>
  <c r="M856" i="2"/>
  <c r="O856" i="2" s="1"/>
  <c r="L856" i="2"/>
  <c r="J856" i="2"/>
  <c r="I856" i="2"/>
  <c r="A856" i="2"/>
  <c r="N855" i="2"/>
  <c r="M855" i="2"/>
  <c r="O855" i="2" s="1"/>
  <c r="L855" i="2"/>
  <c r="J855" i="2"/>
  <c r="I855" i="2"/>
  <c r="A855" i="2"/>
  <c r="O854" i="2"/>
  <c r="N854" i="2"/>
  <c r="M854" i="2"/>
  <c r="L854" i="2"/>
  <c r="J854" i="2"/>
  <c r="I854" i="2"/>
  <c r="A854" i="2"/>
  <c r="N853" i="2"/>
  <c r="I853" i="2" s="1"/>
  <c r="A853" i="2"/>
  <c r="N852" i="2"/>
  <c r="M852" i="2"/>
  <c r="O852" i="2" s="1"/>
  <c r="A852" i="2"/>
  <c r="N851" i="2"/>
  <c r="M851" i="2" s="1"/>
  <c r="O851" i="2" s="1"/>
  <c r="L851" i="2"/>
  <c r="N850" i="2"/>
  <c r="M850" i="2"/>
  <c r="O850" i="2" s="1"/>
  <c r="L850" i="2"/>
  <c r="J850" i="2"/>
  <c r="N849" i="2"/>
  <c r="A849" i="2" s="1"/>
  <c r="L849" i="2"/>
  <c r="N848" i="2"/>
  <c r="M848" i="2"/>
  <c r="O848" i="2" s="1"/>
  <c r="L848" i="2"/>
  <c r="J848" i="2"/>
  <c r="I848" i="2"/>
  <c r="A848" i="2"/>
  <c r="N847" i="2"/>
  <c r="M847" i="2"/>
  <c r="O847" i="2" s="1"/>
  <c r="L847" i="2"/>
  <c r="J847" i="2"/>
  <c r="I847" i="2"/>
  <c r="A847" i="2"/>
  <c r="O846" i="2"/>
  <c r="N846" i="2"/>
  <c r="M846" i="2"/>
  <c r="L846" i="2"/>
  <c r="J846" i="2"/>
  <c r="I846" i="2"/>
  <c r="A846" i="2"/>
  <c r="N845" i="2"/>
  <c r="J845" i="2"/>
  <c r="N844" i="2"/>
  <c r="I844" i="2" s="1"/>
  <c r="M844" i="2"/>
  <c r="O844" i="2" s="1"/>
  <c r="O843" i="2"/>
  <c r="N843" i="2"/>
  <c r="M843" i="2"/>
  <c r="L843" i="2"/>
  <c r="A843" i="2"/>
  <c r="N842" i="2"/>
  <c r="M842" i="2" s="1"/>
  <c r="O842" i="2" s="1"/>
  <c r="L842" i="2"/>
  <c r="N841" i="2"/>
  <c r="A841" i="2" s="1"/>
  <c r="M841" i="2"/>
  <c r="O841" i="2" s="1"/>
  <c r="L841" i="2"/>
  <c r="J841" i="2"/>
  <c r="I841" i="2"/>
  <c r="N840" i="2"/>
  <c r="A840" i="2"/>
  <c r="N839" i="2"/>
  <c r="M839" i="2"/>
  <c r="O839" i="2" s="1"/>
  <c r="L839" i="2"/>
  <c r="J839" i="2"/>
  <c r="I839" i="2"/>
  <c r="A839" i="2"/>
  <c r="O838" i="2"/>
  <c r="N838" i="2"/>
  <c r="M838" i="2"/>
  <c r="L838" i="2"/>
  <c r="J838" i="2"/>
  <c r="I838" i="2"/>
  <c r="A838" i="2"/>
  <c r="N837" i="2"/>
  <c r="M837" i="2" s="1"/>
  <c r="O837" i="2" s="1"/>
  <c r="L837" i="2"/>
  <c r="A837" i="2"/>
  <c r="N836" i="2"/>
  <c r="L836" i="2" s="1"/>
  <c r="M836" i="2"/>
  <c r="O836" i="2" s="1"/>
  <c r="J836" i="2"/>
  <c r="I836" i="2"/>
  <c r="A836" i="2"/>
  <c r="N835" i="2"/>
  <c r="N834" i="2"/>
  <c r="I834" i="2" s="1"/>
  <c r="L834" i="2"/>
  <c r="N833" i="2"/>
  <c r="A833" i="2" s="1"/>
  <c r="M833" i="2"/>
  <c r="O833" i="2" s="1"/>
  <c r="I833" i="2"/>
  <c r="N832" i="2"/>
  <c r="M832" i="2"/>
  <c r="O832" i="2" s="1"/>
  <c r="L832" i="2"/>
  <c r="J832" i="2"/>
  <c r="I832" i="2"/>
  <c r="A832" i="2"/>
  <c r="N831" i="2"/>
  <c r="A831" i="2" s="1"/>
  <c r="N830" i="2"/>
  <c r="M830" i="2"/>
  <c r="O830" i="2" s="1"/>
  <c r="L830" i="2"/>
  <c r="J830" i="2"/>
  <c r="I830" i="2"/>
  <c r="A830" i="2"/>
  <c r="O829" i="2"/>
  <c r="N829" i="2"/>
  <c r="M829" i="2" s="1"/>
  <c r="J829" i="2"/>
  <c r="N828" i="2"/>
  <c r="L828" i="2" s="1"/>
  <c r="M828" i="2"/>
  <c r="O828" i="2" s="1"/>
  <c r="A828" i="2"/>
  <c r="N827" i="2"/>
  <c r="M827" i="2" s="1"/>
  <c r="O827" i="2" s="1"/>
  <c r="L827" i="2"/>
  <c r="J827" i="2"/>
  <c r="I827" i="2"/>
  <c r="A827" i="2"/>
  <c r="O826" i="2"/>
  <c r="N826" i="2"/>
  <c r="M826" i="2"/>
  <c r="L826" i="2"/>
  <c r="J826" i="2"/>
  <c r="I826" i="2"/>
  <c r="A826" i="2"/>
  <c r="N825" i="2"/>
  <c r="N824" i="2"/>
  <c r="L824" i="2" s="1"/>
  <c r="M824" i="2"/>
  <c r="O824" i="2" s="1"/>
  <c r="A824" i="2"/>
  <c r="N823" i="2"/>
  <c r="J823" i="2" s="1"/>
  <c r="L823" i="2"/>
  <c r="N822" i="2"/>
  <c r="J822" i="2"/>
  <c r="N821" i="2"/>
  <c r="M821" i="2"/>
  <c r="O821" i="2" s="1"/>
  <c r="I821" i="2"/>
  <c r="N820" i="2"/>
  <c r="M820" i="2"/>
  <c r="O820" i="2" s="1"/>
  <c r="L820" i="2"/>
  <c r="J820" i="2"/>
  <c r="I820" i="2"/>
  <c r="A820" i="2"/>
  <c r="N819" i="2"/>
  <c r="M819" i="2" s="1"/>
  <c r="O819" i="2" s="1"/>
  <c r="L819" i="2"/>
  <c r="J819" i="2"/>
  <c r="I819" i="2"/>
  <c r="A819" i="2"/>
  <c r="O818" i="2"/>
  <c r="N818" i="2"/>
  <c r="M818" i="2"/>
  <c r="L818" i="2"/>
  <c r="J818" i="2"/>
  <c r="I818" i="2"/>
  <c r="A818" i="2"/>
  <c r="N817" i="2"/>
  <c r="I817" i="2" s="1"/>
  <c r="A817" i="2"/>
  <c r="N816" i="2"/>
  <c r="L816" i="2" s="1"/>
  <c r="M816" i="2"/>
  <c r="O816" i="2" s="1"/>
  <c r="J816" i="2"/>
  <c r="A816" i="2"/>
  <c r="N815" i="2"/>
  <c r="J815" i="2" s="1"/>
  <c r="L815" i="2"/>
  <c r="N814" i="2"/>
  <c r="J814" i="2"/>
  <c r="N813" i="2"/>
  <c r="M813" i="2" s="1"/>
  <c r="O813" i="2" s="1"/>
  <c r="I813" i="2"/>
  <c r="N812" i="2"/>
  <c r="M812" i="2"/>
  <c r="O812" i="2" s="1"/>
  <c r="L812" i="2"/>
  <c r="J812" i="2"/>
  <c r="I812" i="2"/>
  <c r="A812" i="2"/>
  <c r="N811" i="2"/>
  <c r="M811" i="2" s="1"/>
  <c r="O811" i="2" s="1"/>
  <c r="L811" i="2"/>
  <c r="J811" i="2"/>
  <c r="I811" i="2"/>
  <c r="O810" i="2"/>
  <c r="N810" i="2"/>
  <c r="M810" i="2"/>
  <c r="L810" i="2"/>
  <c r="J810" i="2"/>
  <c r="I810" i="2"/>
  <c r="A810" i="2"/>
  <c r="N809" i="2"/>
  <c r="I809" i="2"/>
  <c r="N808" i="2"/>
  <c r="L808" i="2" s="1"/>
  <c r="M808" i="2"/>
  <c r="O808" i="2" s="1"/>
  <c r="J808" i="2"/>
  <c r="A808" i="2"/>
  <c r="N807" i="2"/>
  <c r="J807" i="2" s="1"/>
  <c r="L807" i="2"/>
  <c r="N806" i="2"/>
  <c r="J806" i="2"/>
  <c r="N805" i="2"/>
  <c r="M805" i="2"/>
  <c r="O805" i="2" s="1"/>
  <c r="I805" i="2"/>
  <c r="N804" i="2"/>
  <c r="M804" i="2"/>
  <c r="O804" i="2" s="1"/>
  <c r="L804" i="2"/>
  <c r="J804" i="2"/>
  <c r="I804" i="2"/>
  <c r="A804" i="2"/>
  <c r="N803" i="2"/>
  <c r="M803" i="2" s="1"/>
  <c r="O803" i="2" s="1"/>
  <c r="L803" i="2"/>
  <c r="J803" i="2"/>
  <c r="I803" i="2"/>
  <c r="O802" i="2"/>
  <c r="N802" i="2"/>
  <c r="M802" i="2"/>
  <c r="L802" i="2"/>
  <c r="J802" i="2"/>
  <c r="I802" i="2"/>
  <c r="A802" i="2"/>
  <c r="N801" i="2"/>
  <c r="N800" i="2"/>
  <c r="L800" i="2" s="1"/>
  <c r="M800" i="2"/>
  <c r="O800" i="2" s="1"/>
  <c r="J800" i="2"/>
  <c r="A800" i="2"/>
  <c r="N799" i="2"/>
  <c r="J799" i="2" s="1"/>
  <c r="L799" i="2"/>
  <c r="N798" i="2"/>
  <c r="J798" i="2" s="1"/>
  <c r="N797" i="2"/>
  <c r="N796" i="2"/>
  <c r="I796" i="2" s="1"/>
  <c r="M796" i="2"/>
  <c r="O796" i="2" s="1"/>
  <c r="L796" i="2"/>
  <c r="J796" i="2"/>
  <c r="A796" i="2"/>
  <c r="N795" i="2"/>
  <c r="M795" i="2" s="1"/>
  <c r="O795" i="2" s="1"/>
  <c r="L795" i="2"/>
  <c r="J795" i="2"/>
  <c r="I795" i="2"/>
  <c r="O794" i="2"/>
  <c r="N794" i="2"/>
  <c r="M794" i="2"/>
  <c r="L794" i="2"/>
  <c r="J794" i="2"/>
  <c r="I794" i="2"/>
  <c r="A794" i="2"/>
  <c r="N793" i="2"/>
  <c r="N792" i="2"/>
  <c r="L792" i="2" s="1"/>
  <c r="M792" i="2"/>
  <c r="O792" i="2" s="1"/>
  <c r="J792" i="2"/>
  <c r="I792" i="2"/>
  <c r="A792" i="2"/>
  <c r="N791" i="2"/>
  <c r="J791" i="2" s="1"/>
  <c r="L791" i="2"/>
  <c r="N790" i="2"/>
  <c r="J790" i="2"/>
  <c r="N789" i="2"/>
  <c r="M789" i="2" s="1"/>
  <c r="O789" i="2" s="1"/>
  <c r="I789" i="2"/>
  <c r="N788" i="2"/>
  <c r="I788" i="2" s="1"/>
  <c r="M788" i="2"/>
  <c r="O788" i="2" s="1"/>
  <c r="L788" i="2"/>
  <c r="J788" i="2"/>
  <c r="A788" i="2"/>
  <c r="N787" i="2"/>
  <c r="M787" i="2" s="1"/>
  <c r="O787" i="2" s="1"/>
  <c r="L787" i="2"/>
  <c r="J787" i="2"/>
  <c r="I787" i="2"/>
  <c r="O786" i="2"/>
  <c r="N786" i="2"/>
  <c r="M786" i="2"/>
  <c r="L786" i="2"/>
  <c r="J786" i="2"/>
  <c r="I786" i="2"/>
  <c r="A786" i="2"/>
  <c r="N785" i="2"/>
  <c r="I785" i="2" s="1"/>
  <c r="A785" i="2"/>
  <c r="N784" i="2"/>
  <c r="L784" i="2" s="1"/>
  <c r="M784" i="2"/>
  <c r="O784" i="2" s="1"/>
  <c r="J784" i="2"/>
  <c r="I784" i="2"/>
  <c r="A784" i="2"/>
  <c r="N783" i="2"/>
  <c r="J783" i="2" s="1"/>
  <c r="L783" i="2"/>
  <c r="N782" i="2"/>
  <c r="N781" i="2"/>
  <c r="M781" i="2"/>
  <c r="O781" i="2" s="1"/>
  <c r="N780" i="2"/>
  <c r="I780" i="2" s="1"/>
  <c r="M780" i="2"/>
  <c r="O780" i="2" s="1"/>
  <c r="L780" i="2"/>
  <c r="J780" i="2"/>
  <c r="A780" i="2"/>
  <c r="N779" i="2"/>
  <c r="M779" i="2" s="1"/>
  <c r="O779" i="2" s="1"/>
  <c r="L779" i="2"/>
  <c r="J779" i="2"/>
  <c r="I779" i="2"/>
  <c r="O778" i="2"/>
  <c r="N778" i="2"/>
  <c r="M778" i="2"/>
  <c r="L778" i="2"/>
  <c r="J778" i="2"/>
  <c r="I778" i="2"/>
  <c r="A778" i="2"/>
  <c r="N777" i="2"/>
  <c r="I777" i="2"/>
  <c r="A777" i="2"/>
  <c r="N776" i="2"/>
  <c r="L776" i="2" s="1"/>
  <c r="M776" i="2"/>
  <c r="O776" i="2" s="1"/>
  <c r="J776" i="2"/>
  <c r="I776" i="2"/>
  <c r="A776" i="2"/>
  <c r="N775" i="2"/>
  <c r="J775" i="2" s="1"/>
  <c r="L775" i="2"/>
  <c r="N774" i="2"/>
  <c r="J774" i="2" s="1"/>
  <c r="N773" i="2"/>
  <c r="N772" i="2"/>
  <c r="I772" i="2" s="1"/>
  <c r="M772" i="2"/>
  <c r="O772" i="2" s="1"/>
  <c r="L772" i="2"/>
  <c r="J772" i="2"/>
  <c r="A772" i="2"/>
  <c r="N771" i="2"/>
  <c r="M771" i="2" s="1"/>
  <c r="O771" i="2" s="1"/>
  <c r="L771" i="2"/>
  <c r="J771" i="2"/>
  <c r="O770" i="2"/>
  <c r="N770" i="2"/>
  <c r="M770" i="2"/>
  <c r="L770" i="2"/>
  <c r="J770" i="2"/>
  <c r="I770" i="2"/>
  <c r="A770" i="2"/>
  <c r="N769" i="2"/>
  <c r="I769" i="2"/>
  <c r="A769" i="2"/>
  <c r="N768" i="2"/>
  <c r="L768" i="2" s="1"/>
  <c r="M768" i="2"/>
  <c r="O768" i="2" s="1"/>
  <c r="J768" i="2"/>
  <c r="I768" i="2"/>
  <c r="A768" i="2"/>
  <c r="N767" i="2"/>
  <c r="J767" i="2" s="1"/>
  <c r="L767" i="2"/>
  <c r="I767" i="2"/>
  <c r="N766" i="2"/>
  <c r="J766" i="2"/>
  <c r="N765" i="2"/>
  <c r="M765" i="2" s="1"/>
  <c r="O765" i="2" s="1"/>
  <c r="I765" i="2"/>
  <c r="N764" i="2"/>
  <c r="I764" i="2" s="1"/>
  <c r="M764" i="2"/>
  <c r="O764" i="2" s="1"/>
  <c r="L764" i="2"/>
  <c r="J764" i="2"/>
  <c r="A764" i="2"/>
  <c r="N763" i="2"/>
  <c r="M763" i="2" s="1"/>
  <c r="O763" i="2" s="1"/>
  <c r="L763" i="2"/>
  <c r="J763" i="2"/>
  <c r="O762" i="2"/>
  <c r="N762" i="2"/>
  <c r="M762" i="2"/>
  <c r="L762" i="2"/>
  <c r="J762" i="2"/>
  <c r="I762" i="2"/>
  <c r="A762" i="2"/>
  <c r="N761" i="2"/>
  <c r="I761" i="2" s="1"/>
  <c r="A761" i="2"/>
  <c r="N760" i="2"/>
  <c r="L760" i="2" s="1"/>
  <c r="M760" i="2"/>
  <c r="O760" i="2" s="1"/>
  <c r="J760" i="2"/>
  <c r="I760" i="2"/>
  <c r="A760" i="2"/>
  <c r="N759" i="2"/>
  <c r="J759" i="2" s="1"/>
  <c r="L759" i="2"/>
  <c r="I759" i="2"/>
  <c r="N758" i="2"/>
  <c r="N757" i="2"/>
  <c r="M757" i="2"/>
  <c r="O757" i="2" s="1"/>
  <c r="I757" i="2"/>
  <c r="N756" i="2"/>
  <c r="I756" i="2" s="1"/>
  <c r="M756" i="2"/>
  <c r="O756" i="2" s="1"/>
  <c r="L756" i="2"/>
  <c r="J756" i="2"/>
  <c r="A756" i="2"/>
  <c r="N755" i="2"/>
  <c r="M755" i="2" s="1"/>
  <c r="O755" i="2" s="1"/>
  <c r="L755" i="2"/>
  <c r="J755" i="2"/>
  <c r="O754" i="2"/>
  <c r="N754" i="2"/>
  <c r="M754" i="2"/>
  <c r="L754" i="2"/>
  <c r="J754" i="2"/>
  <c r="I754" i="2"/>
  <c r="A754" i="2"/>
  <c r="N753" i="2"/>
  <c r="I753" i="2"/>
  <c r="A753" i="2"/>
  <c r="N752" i="2"/>
  <c r="L752" i="2" s="1"/>
  <c r="M752" i="2"/>
  <c r="O752" i="2" s="1"/>
  <c r="J752" i="2"/>
  <c r="A752" i="2"/>
  <c r="N751" i="2"/>
  <c r="J751" i="2" s="1"/>
  <c r="L751" i="2"/>
  <c r="I751" i="2"/>
  <c r="N750" i="2"/>
  <c r="N749" i="2"/>
  <c r="M749" i="2"/>
  <c r="O749" i="2" s="1"/>
  <c r="I749" i="2"/>
  <c r="N748" i="2"/>
  <c r="M748" i="2"/>
  <c r="O748" i="2" s="1"/>
  <c r="L748" i="2"/>
  <c r="J748" i="2"/>
  <c r="I748" i="2"/>
  <c r="A748" i="2"/>
  <c r="N747" i="2"/>
  <c r="M747" i="2" s="1"/>
  <c r="O747" i="2" s="1"/>
  <c r="L747" i="2"/>
  <c r="J747" i="2"/>
  <c r="N746" i="2"/>
  <c r="M746" i="2"/>
  <c r="O746" i="2" s="1"/>
  <c r="L746" i="2"/>
  <c r="J746" i="2"/>
  <c r="I746" i="2"/>
  <c r="A746" i="2"/>
  <c r="N745" i="2"/>
  <c r="A745" i="2"/>
  <c r="N744" i="2"/>
  <c r="L744" i="2" s="1"/>
  <c r="M744" i="2"/>
  <c r="O744" i="2" s="1"/>
  <c r="J744" i="2"/>
  <c r="A744" i="2"/>
  <c r="N743" i="2"/>
  <c r="J743" i="2" s="1"/>
  <c r="L743" i="2"/>
  <c r="I743" i="2"/>
  <c r="N742" i="2"/>
  <c r="J742" i="2"/>
  <c r="A742" i="2"/>
  <c r="N741" i="2"/>
  <c r="O740" i="2"/>
  <c r="N740" i="2"/>
  <c r="M740" i="2"/>
  <c r="L740" i="2"/>
  <c r="J740" i="2"/>
  <c r="I740" i="2"/>
  <c r="A740" i="2"/>
  <c r="N739" i="2"/>
  <c r="L739" i="2"/>
  <c r="N738" i="2"/>
  <c r="M738" i="2"/>
  <c r="O738" i="2" s="1"/>
  <c r="L738" i="2"/>
  <c r="J738" i="2"/>
  <c r="I738" i="2"/>
  <c r="A738" i="2"/>
  <c r="N737" i="2"/>
  <c r="L737" i="2"/>
  <c r="I737" i="2"/>
  <c r="A737" i="2"/>
  <c r="N736" i="2"/>
  <c r="L736" i="2" s="1"/>
  <c r="M736" i="2"/>
  <c r="O736" i="2" s="1"/>
  <c r="J736" i="2"/>
  <c r="A736" i="2"/>
  <c r="N735" i="2"/>
  <c r="J735" i="2" s="1"/>
  <c r="L735" i="2"/>
  <c r="I735" i="2"/>
  <c r="N734" i="2"/>
  <c r="M734" i="2" s="1"/>
  <c r="O734" i="2" s="1"/>
  <c r="J734" i="2"/>
  <c r="N733" i="2"/>
  <c r="M733" i="2"/>
  <c r="O733" i="2" s="1"/>
  <c r="L733" i="2"/>
  <c r="I733" i="2"/>
  <c r="N732" i="2"/>
  <c r="M732" i="2"/>
  <c r="O732" i="2" s="1"/>
  <c r="L732" i="2"/>
  <c r="J732" i="2"/>
  <c r="I732" i="2"/>
  <c r="A732" i="2"/>
  <c r="N731" i="2"/>
  <c r="I731" i="2"/>
  <c r="N730" i="2"/>
  <c r="M730" i="2"/>
  <c r="O730" i="2" s="1"/>
  <c r="L730" i="2"/>
  <c r="J730" i="2"/>
  <c r="I730" i="2"/>
  <c r="A730" i="2"/>
  <c r="O729" i="2"/>
  <c r="N729" i="2"/>
  <c r="M729" i="2" s="1"/>
  <c r="L729" i="2"/>
  <c r="J729" i="2"/>
  <c r="I729" i="2"/>
  <c r="A729" i="2"/>
  <c r="N728" i="2"/>
  <c r="L728" i="2" s="1"/>
  <c r="M728" i="2"/>
  <c r="O728" i="2" s="1"/>
  <c r="I728" i="2"/>
  <c r="A728" i="2"/>
  <c r="N727" i="2"/>
  <c r="I727" i="2"/>
  <c r="N726" i="2"/>
  <c r="I726" i="2" s="1"/>
  <c r="L726" i="2"/>
  <c r="O725" i="2"/>
  <c r="N725" i="2"/>
  <c r="M725" i="2"/>
  <c r="L725" i="2"/>
  <c r="J725" i="2"/>
  <c r="I725" i="2"/>
  <c r="A725" i="2"/>
  <c r="N724" i="2"/>
  <c r="A724" i="2"/>
  <c r="N723" i="2"/>
  <c r="L723" i="2" s="1"/>
  <c r="M723" i="2"/>
  <c r="O723" i="2" s="1"/>
  <c r="J723" i="2"/>
  <c r="I723" i="2"/>
  <c r="A723" i="2"/>
  <c r="N722" i="2"/>
  <c r="J722" i="2" s="1"/>
  <c r="L722" i="2"/>
  <c r="A722" i="2"/>
  <c r="N721" i="2"/>
  <c r="J721" i="2"/>
  <c r="N720" i="2"/>
  <c r="A720" i="2" s="1"/>
  <c r="M720" i="2"/>
  <c r="O720" i="2" s="1"/>
  <c r="L720" i="2"/>
  <c r="I720" i="2"/>
  <c r="N719" i="2"/>
  <c r="M719" i="2" s="1"/>
  <c r="O719" i="2" s="1"/>
  <c r="L719" i="2"/>
  <c r="A719" i="2"/>
  <c r="N718" i="2"/>
  <c r="A718" i="2" s="1"/>
  <c r="M718" i="2"/>
  <c r="O718" i="2" s="1"/>
  <c r="L718" i="2"/>
  <c r="J718" i="2"/>
  <c r="I718" i="2"/>
  <c r="O717" i="2"/>
  <c r="N717" i="2"/>
  <c r="M717" i="2"/>
  <c r="L717" i="2"/>
  <c r="J717" i="2"/>
  <c r="I717" i="2"/>
  <c r="A717" i="2"/>
  <c r="N716" i="2"/>
  <c r="A716" i="2"/>
  <c r="N715" i="2"/>
  <c r="L715" i="2" s="1"/>
  <c r="M715" i="2"/>
  <c r="O715" i="2" s="1"/>
  <c r="J715" i="2"/>
  <c r="I715" i="2"/>
  <c r="A715" i="2"/>
  <c r="N714" i="2"/>
  <c r="J714" i="2" s="1"/>
  <c r="L714" i="2"/>
  <c r="A714" i="2"/>
  <c r="N713" i="2"/>
  <c r="J713" i="2"/>
  <c r="N712" i="2"/>
  <c r="A712" i="2" s="1"/>
  <c r="M712" i="2"/>
  <c r="O712" i="2" s="1"/>
  <c r="L712" i="2"/>
  <c r="I712" i="2"/>
  <c r="N711" i="2"/>
  <c r="M711" i="2" s="1"/>
  <c r="O711" i="2" s="1"/>
  <c r="L711" i="2"/>
  <c r="A711" i="2"/>
  <c r="N710" i="2"/>
  <c r="A710" i="2" s="1"/>
  <c r="M710" i="2"/>
  <c r="O710" i="2" s="1"/>
  <c r="L710" i="2"/>
  <c r="J710" i="2"/>
  <c r="I710" i="2"/>
  <c r="O709" i="2"/>
  <c r="N709" i="2"/>
  <c r="M709" i="2"/>
  <c r="L709" i="2"/>
  <c r="J709" i="2"/>
  <c r="I709" i="2"/>
  <c r="A709" i="2"/>
  <c r="N708" i="2"/>
  <c r="A708" i="2"/>
  <c r="N707" i="2"/>
  <c r="L707" i="2" s="1"/>
  <c r="M707" i="2"/>
  <c r="O707" i="2" s="1"/>
  <c r="J707" i="2"/>
  <c r="I707" i="2"/>
  <c r="A707" i="2"/>
  <c r="N706" i="2"/>
  <c r="J706" i="2" s="1"/>
  <c r="L706" i="2"/>
  <c r="A706" i="2"/>
  <c r="N705" i="2"/>
  <c r="J705" i="2"/>
  <c r="N704" i="2"/>
  <c r="A704" i="2" s="1"/>
  <c r="M704" i="2"/>
  <c r="O704" i="2" s="1"/>
  <c r="L704" i="2"/>
  <c r="I704" i="2"/>
  <c r="N703" i="2"/>
  <c r="M703" i="2" s="1"/>
  <c r="O703" i="2" s="1"/>
  <c r="L703" i="2"/>
  <c r="A703" i="2"/>
  <c r="N702" i="2"/>
  <c r="A702" i="2" s="1"/>
  <c r="M702" i="2"/>
  <c r="O702" i="2" s="1"/>
  <c r="L702" i="2"/>
  <c r="J702" i="2"/>
  <c r="I702" i="2"/>
  <c r="O701" i="2"/>
  <c r="N701" i="2"/>
  <c r="M701" i="2"/>
  <c r="L701" i="2"/>
  <c r="J701" i="2"/>
  <c r="I701" i="2"/>
  <c r="A701" i="2"/>
  <c r="N700" i="2"/>
  <c r="A700" i="2"/>
  <c r="N699" i="2"/>
  <c r="L699" i="2" s="1"/>
  <c r="M699" i="2"/>
  <c r="O699" i="2" s="1"/>
  <c r="J699" i="2"/>
  <c r="I699" i="2"/>
  <c r="A699" i="2"/>
  <c r="N698" i="2"/>
  <c r="J698" i="2" s="1"/>
  <c r="L698" i="2"/>
  <c r="A698" i="2"/>
  <c r="N697" i="2"/>
  <c r="J697" i="2"/>
  <c r="N696" i="2"/>
  <c r="A696" i="2" s="1"/>
  <c r="M696" i="2"/>
  <c r="O696" i="2" s="1"/>
  <c r="L696" i="2"/>
  <c r="I696" i="2"/>
  <c r="N695" i="2"/>
  <c r="M695" i="2" s="1"/>
  <c r="O695" i="2" s="1"/>
  <c r="L695" i="2"/>
  <c r="A695" i="2"/>
  <c r="N694" i="2"/>
  <c r="A694" i="2" s="1"/>
  <c r="M694" i="2"/>
  <c r="O694" i="2" s="1"/>
  <c r="L694" i="2"/>
  <c r="J694" i="2"/>
  <c r="I694" i="2"/>
  <c r="O693" i="2"/>
  <c r="N693" i="2"/>
  <c r="M693" i="2"/>
  <c r="L693" i="2"/>
  <c r="J693" i="2"/>
  <c r="I693" i="2"/>
  <c r="A693" i="2"/>
  <c r="N692" i="2"/>
  <c r="A692" i="2"/>
  <c r="N691" i="2"/>
  <c r="L691" i="2" s="1"/>
  <c r="M691" i="2"/>
  <c r="O691" i="2" s="1"/>
  <c r="J691" i="2"/>
  <c r="I691" i="2"/>
  <c r="A691" i="2"/>
  <c r="N690" i="2"/>
  <c r="J690" i="2" s="1"/>
  <c r="L690" i="2"/>
  <c r="A690" i="2"/>
  <c r="N689" i="2"/>
  <c r="J689" i="2"/>
  <c r="N688" i="2"/>
  <c r="A688" i="2" s="1"/>
  <c r="M688" i="2"/>
  <c r="O688" i="2" s="1"/>
  <c r="L688" i="2"/>
  <c r="I688" i="2"/>
  <c r="N687" i="2"/>
  <c r="M687" i="2" s="1"/>
  <c r="O687" i="2" s="1"/>
  <c r="L687" i="2"/>
  <c r="A687" i="2"/>
  <c r="N686" i="2"/>
  <c r="A686" i="2" s="1"/>
  <c r="M686" i="2"/>
  <c r="O686" i="2" s="1"/>
  <c r="L686" i="2"/>
  <c r="J686" i="2"/>
  <c r="I686" i="2"/>
  <c r="O685" i="2"/>
  <c r="N685" i="2"/>
  <c r="M685" i="2"/>
  <c r="L685" i="2"/>
  <c r="J685" i="2"/>
  <c r="I685" i="2"/>
  <c r="A685" i="2"/>
  <c r="N684" i="2"/>
  <c r="A684" i="2"/>
  <c r="N683" i="2"/>
  <c r="L683" i="2" s="1"/>
  <c r="M683" i="2"/>
  <c r="O683" i="2" s="1"/>
  <c r="J683" i="2"/>
  <c r="I683" i="2"/>
  <c r="A683" i="2"/>
  <c r="N682" i="2"/>
  <c r="J682" i="2" s="1"/>
  <c r="L682" i="2"/>
  <c r="A682" i="2"/>
  <c r="N681" i="2"/>
  <c r="J681" i="2"/>
  <c r="N680" i="2"/>
  <c r="A680" i="2" s="1"/>
  <c r="M680" i="2"/>
  <c r="O680" i="2" s="1"/>
  <c r="L680" i="2"/>
  <c r="I680" i="2"/>
  <c r="N679" i="2"/>
  <c r="M679" i="2" s="1"/>
  <c r="O679" i="2" s="1"/>
  <c r="L679" i="2"/>
  <c r="A679" i="2"/>
  <c r="N678" i="2"/>
  <c r="A678" i="2" s="1"/>
  <c r="M678" i="2"/>
  <c r="O678" i="2" s="1"/>
  <c r="L678" i="2"/>
  <c r="J678" i="2"/>
  <c r="I678" i="2"/>
  <c r="O677" i="2"/>
  <c r="N677" i="2"/>
  <c r="M677" i="2"/>
  <c r="L677" i="2"/>
  <c r="J677" i="2"/>
  <c r="I677" i="2"/>
  <c r="A677" i="2"/>
  <c r="N676" i="2"/>
  <c r="A676" i="2"/>
  <c r="N675" i="2"/>
  <c r="L675" i="2" s="1"/>
  <c r="M675" i="2"/>
  <c r="O675" i="2" s="1"/>
  <c r="J675" i="2"/>
  <c r="I675" i="2"/>
  <c r="A675" i="2"/>
  <c r="N674" i="2"/>
  <c r="J674" i="2" s="1"/>
  <c r="L674" i="2"/>
  <c r="A674" i="2"/>
  <c r="N673" i="2"/>
  <c r="J673" i="2"/>
  <c r="N672" i="2"/>
  <c r="A672" i="2" s="1"/>
  <c r="M672" i="2"/>
  <c r="O672" i="2" s="1"/>
  <c r="L672" i="2"/>
  <c r="I672" i="2"/>
  <c r="N671" i="2"/>
  <c r="M671" i="2" s="1"/>
  <c r="O671" i="2" s="1"/>
  <c r="L671" i="2"/>
  <c r="A671" i="2"/>
  <c r="N670" i="2"/>
  <c r="A670" i="2" s="1"/>
  <c r="M670" i="2"/>
  <c r="O670" i="2" s="1"/>
  <c r="L670" i="2"/>
  <c r="J670" i="2"/>
  <c r="I670" i="2"/>
  <c r="O669" i="2"/>
  <c r="N669" i="2"/>
  <c r="M669" i="2"/>
  <c r="L669" i="2"/>
  <c r="J669" i="2"/>
  <c r="I669" i="2"/>
  <c r="A669" i="2"/>
  <c r="N668" i="2"/>
  <c r="A668" i="2"/>
  <c r="N667" i="2"/>
  <c r="L667" i="2" s="1"/>
  <c r="M667" i="2"/>
  <c r="O667" i="2" s="1"/>
  <c r="J667" i="2"/>
  <c r="I667" i="2"/>
  <c r="A667" i="2"/>
  <c r="N666" i="2"/>
  <c r="J666" i="2" s="1"/>
  <c r="L666" i="2"/>
  <c r="A666" i="2"/>
  <c r="N665" i="2"/>
  <c r="J665" i="2"/>
  <c r="N664" i="2"/>
  <c r="A664" i="2" s="1"/>
  <c r="M664" i="2"/>
  <c r="O664" i="2" s="1"/>
  <c r="L664" i="2"/>
  <c r="I664" i="2"/>
  <c r="N663" i="2"/>
  <c r="M663" i="2" s="1"/>
  <c r="O663" i="2" s="1"/>
  <c r="L663" i="2"/>
  <c r="A663" i="2"/>
  <c r="N662" i="2"/>
  <c r="A662" i="2" s="1"/>
  <c r="M662" i="2"/>
  <c r="O662" i="2" s="1"/>
  <c r="L662" i="2"/>
  <c r="J662" i="2"/>
  <c r="I662" i="2"/>
  <c r="O661" i="2"/>
  <c r="N661" i="2"/>
  <c r="M661" i="2"/>
  <c r="L661" i="2"/>
  <c r="J661" i="2"/>
  <c r="I661" i="2"/>
  <c r="A661" i="2"/>
  <c r="N660" i="2"/>
  <c r="A660" i="2"/>
  <c r="N659" i="2"/>
  <c r="L659" i="2" s="1"/>
  <c r="M659" i="2"/>
  <c r="O659" i="2" s="1"/>
  <c r="J659" i="2"/>
  <c r="I659" i="2"/>
  <c r="A659" i="2"/>
  <c r="N658" i="2"/>
  <c r="J658" i="2" s="1"/>
  <c r="L658" i="2"/>
  <c r="A658" i="2"/>
  <c r="N657" i="2"/>
  <c r="J657" i="2"/>
  <c r="N656" i="2"/>
  <c r="A656" i="2" s="1"/>
  <c r="M656" i="2"/>
  <c r="O656" i="2" s="1"/>
  <c r="L656" i="2"/>
  <c r="I656" i="2"/>
  <c r="N655" i="2"/>
  <c r="M655" i="2" s="1"/>
  <c r="O655" i="2" s="1"/>
  <c r="L655" i="2"/>
  <c r="A655" i="2"/>
  <c r="N654" i="2"/>
  <c r="A654" i="2" s="1"/>
  <c r="M654" i="2"/>
  <c r="O654" i="2" s="1"/>
  <c r="L654" i="2"/>
  <c r="J654" i="2"/>
  <c r="I654" i="2"/>
  <c r="O653" i="2"/>
  <c r="N653" i="2"/>
  <c r="M653" i="2"/>
  <c r="L653" i="2"/>
  <c r="J653" i="2"/>
  <c r="I653" i="2"/>
  <c r="A653" i="2"/>
  <c r="N652" i="2"/>
  <c r="A652" i="2"/>
  <c r="N651" i="2"/>
  <c r="L651" i="2" s="1"/>
  <c r="M651" i="2"/>
  <c r="O651" i="2" s="1"/>
  <c r="J651" i="2"/>
  <c r="I651" i="2"/>
  <c r="A651" i="2"/>
  <c r="N650" i="2"/>
  <c r="J650" i="2" s="1"/>
  <c r="L650" i="2"/>
  <c r="A650" i="2"/>
  <c r="N649" i="2"/>
  <c r="J649" i="2"/>
  <c r="N648" i="2"/>
  <c r="A648" i="2" s="1"/>
  <c r="M648" i="2"/>
  <c r="O648" i="2" s="1"/>
  <c r="L648" i="2"/>
  <c r="I648" i="2"/>
  <c r="N647" i="2"/>
  <c r="M647" i="2" s="1"/>
  <c r="O647" i="2" s="1"/>
  <c r="L647" i="2"/>
  <c r="A647" i="2"/>
  <c r="N646" i="2"/>
  <c r="A646" i="2" s="1"/>
  <c r="M646" i="2"/>
  <c r="O646" i="2" s="1"/>
  <c r="L646" i="2"/>
  <c r="J646" i="2"/>
  <c r="I646" i="2"/>
  <c r="O645" i="2"/>
  <c r="N645" i="2"/>
  <c r="M645" i="2"/>
  <c r="L645" i="2"/>
  <c r="J645" i="2"/>
  <c r="I645" i="2"/>
  <c r="A645" i="2"/>
  <c r="N644" i="2"/>
  <c r="A644" i="2"/>
  <c r="N643" i="2"/>
  <c r="L643" i="2" s="1"/>
  <c r="M643" i="2"/>
  <c r="O643" i="2" s="1"/>
  <c r="J643" i="2"/>
  <c r="I643" i="2"/>
  <c r="A643" i="2"/>
  <c r="N642" i="2"/>
  <c r="J642" i="2" s="1"/>
  <c r="L642" i="2"/>
  <c r="A642" i="2"/>
  <c r="N641" i="2"/>
  <c r="J641" i="2"/>
  <c r="N640" i="2"/>
  <c r="A640" i="2" s="1"/>
  <c r="M640" i="2"/>
  <c r="O640" i="2" s="1"/>
  <c r="L640" i="2"/>
  <c r="I640" i="2"/>
  <c r="N639" i="2"/>
  <c r="M639" i="2" s="1"/>
  <c r="O639" i="2" s="1"/>
  <c r="L639" i="2"/>
  <c r="A639" i="2"/>
  <c r="N638" i="2"/>
  <c r="A638" i="2" s="1"/>
  <c r="M638" i="2"/>
  <c r="O638" i="2" s="1"/>
  <c r="L638" i="2"/>
  <c r="J638" i="2"/>
  <c r="I638" i="2"/>
  <c r="O637" i="2"/>
  <c r="N637" i="2"/>
  <c r="M637" i="2"/>
  <c r="L637" i="2"/>
  <c r="J637" i="2"/>
  <c r="I637" i="2"/>
  <c r="A637" i="2"/>
  <c r="N636" i="2"/>
  <c r="A636" i="2" s="1"/>
  <c r="J636" i="2"/>
  <c r="N635" i="2"/>
  <c r="L635" i="2" s="1"/>
  <c r="M635" i="2"/>
  <c r="O635" i="2" s="1"/>
  <c r="J635" i="2"/>
  <c r="I635" i="2"/>
  <c r="A635" i="2"/>
  <c r="N634" i="2"/>
  <c r="J634" i="2" s="1"/>
  <c r="L634" i="2"/>
  <c r="A634" i="2"/>
  <c r="N633" i="2"/>
  <c r="N632" i="2"/>
  <c r="A632" i="2" s="1"/>
  <c r="M632" i="2"/>
  <c r="O632" i="2" s="1"/>
  <c r="L632" i="2"/>
  <c r="I632" i="2"/>
  <c r="N631" i="2"/>
  <c r="L631" i="2"/>
  <c r="N630" i="2"/>
  <c r="A630" i="2" s="1"/>
  <c r="M630" i="2"/>
  <c r="O630" i="2" s="1"/>
  <c r="L630" i="2"/>
  <c r="J630" i="2"/>
  <c r="I630" i="2"/>
  <c r="O629" i="2"/>
  <c r="N629" i="2"/>
  <c r="M629" i="2"/>
  <c r="L629" i="2"/>
  <c r="J629" i="2"/>
  <c r="I629" i="2"/>
  <c r="A629" i="2"/>
  <c r="N628" i="2"/>
  <c r="J628" i="2"/>
  <c r="A628" i="2"/>
  <c r="N627" i="2"/>
  <c r="L627" i="2" s="1"/>
  <c r="M627" i="2"/>
  <c r="O627" i="2" s="1"/>
  <c r="J627" i="2"/>
  <c r="I627" i="2"/>
  <c r="A627" i="2"/>
  <c r="N626" i="2"/>
  <c r="J626" i="2" s="1"/>
  <c r="L626" i="2"/>
  <c r="A626" i="2"/>
  <c r="N625" i="2"/>
  <c r="J625" i="2"/>
  <c r="O624" i="2"/>
  <c r="N624" i="2"/>
  <c r="A624" i="2" s="1"/>
  <c r="M624" i="2"/>
  <c r="L624" i="2"/>
  <c r="I624" i="2"/>
  <c r="N623" i="2"/>
  <c r="L623" i="2"/>
  <c r="A623" i="2"/>
  <c r="N622" i="2"/>
  <c r="A622" i="2" s="1"/>
  <c r="M622" i="2"/>
  <c r="O622" i="2" s="1"/>
  <c r="L622" i="2"/>
  <c r="J622" i="2"/>
  <c r="I622" i="2"/>
  <c r="O621" i="2"/>
  <c r="N621" i="2"/>
  <c r="M621" i="2"/>
  <c r="L621" i="2"/>
  <c r="J621" i="2"/>
  <c r="I621" i="2"/>
  <c r="A621" i="2"/>
  <c r="N620" i="2"/>
  <c r="N619" i="2"/>
  <c r="L619" i="2" s="1"/>
  <c r="M619" i="2"/>
  <c r="O619" i="2" s="1"/>
  <c r="J619" i="2"/>
  <c r="I619" i="2"/>
  <c r="A619" i="2"/>
  <c r="N618" i="2"/>
  <c r="J618" i="2" s="1"/>
  <c r="L618" i="2"/>
  <c r="A618" i="2"/>
  <c r="N617" i="2"/>
  <c r="J617" i="2"/>
  <c r="N616" i="2"/>
  <c r="A616" i="2" s="1"/>
  <c r="M616" i="2"/>
  <c r="O616" i="2" s="1"/>
  <c r="L616" i="2"/>
  <c r="I616" i="2"/>
  <c r="N615" i="2"/>
  <c r="A615" i="2" s="1"/>
  <c r="L615" i="2"/>
  <c r="J615" i="2"/>
  <c r="N614" i="2"/>
  <c r="A614" i="2" s="1"/>
  <c r="M614" i="2"/>
  <c r="O614" i="2" s="1"/>
  <c r="L614" i="2"/>
  <c r="J614" i="2"/>
  <c r="I614" i="2"/>
  <c r="O613" i="2"/>
  <c r="N613" i="2"/>
  <c r="M613" i="2"/>
  <c r="L613" i="2"/>
  <c r="J613" i="2"/>
  <c r="I613" i="2"/>
  <c r="A613" i="2"/>
  <c r="N612" i="2"/>
  <c r="J612" i="2"/>
  <c r="A612" i="2"/>
  <c r="N611" i="2"/>
  <c r="L611" i="2" s="1"/>
  <c r="M611" i="2"/>
  <c r="O611" i="2" s="1"/>
  <c r="J611" i="2"/>
  <c r="I611" i="2"/>
  <c r="A611" i="2"/>
  <c r="N610" i="2"/>
  <c r="N609" i="2"/>
  <c r="N608" i="2"/>
  <c r="A608" i="2" s="1"/>
  <c r="M608" i="2"/>
  <c r="O608" i="2" s="1"/>
  <c r="L608" i="2"/>
  <c r="I608" i="2"/>
  <c r="N607" i="2"/>
  <c r="N606" i="2"/>
  <c r="A606" i="2" s="1"/>
  <c r="M606" i="2"/>
  <c r="O606" i="2" s="1"/>
  <c r="L606" i="2"/>
  <c r="J606" i="2"/>
  <c r="I606" i="2"/>
  <c r="O605" i="2"/>
  <c r="N605" i="2"/>
  <c r="M605" i="2"/>
  <c r="L605" i="2"/>
  <c r="J605" i="2"/>
  <c r="I605" i="2"/>
  <c r="A605" i="2"/>
  <c r="N604" i="2"/>
  <c r="O603" i="2"/>
  <c r="N603" i="2"/>
  <c r="L603" i="2" s="1"/>
  <c r="M603" i="2"/>
  <c r="J603" i="2"/>
  <c r="I603" i="2"/>
  <c r="A603" i="2"/>
  <c r="N602" i="2"/>
  <c r="L602" i="2"/>
  <c r="A602" i="2"/>
  <c r="N601" i="2"/>
  <c r="M601" i="2"/>
  <c r="O601" i="2" s="1"/>
  <c r="N600" i="2"/>
  <c r="I600" i="2" s="1"/>
  <c r="M600" i="2"/>
  <c r="O600" i="2" s="1"/>
  <c r="L600" i="2"/>
  <c r="N599" i="2"/>
  <c r="I599" i="2" s="1"/>
  <c r="M599" i="2"/>
  <c r="O599" i="2" s="1"/>
  <c r="N598" i="2"/>
  <c r="A598" i="2" s="1"/>
  <c r="M598" i="2"/>
  <c r="O598" i="2" s="1"/>
  <c r="L598" i="2"/>
  <c r="J598" i="2"/>
  <c r="I598" i="2"/>
  <c r="O597" i="2"/>
  <c r="N597" i="2"/>
  <c r="M597" i="2"/>
  <c r="L597" i="2"/>
  <c r="J597" i="2"/>
  <c r="I597" i="2"/>
  <c r="A597" i="2"/>
  <c r="N596" i="2"/>
  <c r="O595" i="2"/>
  <c r="N595" i="2"/>
  <c r="L595" i="2" s="1"/>
  <c r="M595" i="2"/>
  <c r="J595" i="2"/>
  <c r="I595" i="2"/>
  <c r="A595" i="2"/>
  <c r="N594" i="2"/>
  <c r="L594" i="2"/>
  <c r="A594" i="2"/>
  <c r="N593" i="2"/>
  <c r="M593" i="2"/>
  <c r="O593" i="2" s="1"/>
  <c r="N592" i="2"/>
  <c r="I592" i="2" s="1"/>
  <c r="M592" i="2"/>
  <c r="O592" i="2" s="1"/>
  <c r="L592" i="2"/>
  <c r="N591" i="2"/>
  <c r="I591" i="2" s="1"/>
  <c r="M591" i="2"/>
  <c r="O591" i="2" s="1"/>
  <c r="N590" i="2"/>
  <c r="A590" i="2" s="1"/>
  <c r="M590" i="2"/>
  <c r="O590" i="2" s="1"/>
  <c r="I590" i="2"/>
  <c r="N589" i="2"/>
  <c r="M589" i="2"/>
  <c r="O589" i="2" s="1"/>
  <c r="L589" i="2"/>
  <c r="J589" i="2"/>
  <c r="I589" i="2"/>
  <c r="A589" i="2"/>
  <c r="N588" i="2"/>
  <c r="O587" i="2"/>
  <c r="N587" i="2"/>
  <c r="M587" i="2"/>
  <c r="L587" i="2"/>
  <c r="J587" i="2"/>
  <c r="I587" i="2"/>
  <c r="A587" i="2"/>
  <c r="N586" i="2"/>
  <c r="N585" i="2"/>
  <c r="M585" i="2" s="1"/>
  <c r="O585" i="2" s="1"/>
  <c r="J585" i="2"/>
  <c r="A585" i="2"/>
  <c r="N584" i="2"/>
  <c r="M584" i="2"/>
  <c r="O584" i="2" s="1"/>
  <c r="N583" i="2"/>
  <c r="I583" i="2" s="1"/>
  <c r="M583" i="2"/>
  <c r="O583" i="2" s="1"/>
  <c r="A583" i="2"/>
  <c r="N582" i="2"/>
  <c r="A582" i="2" s="1"/>
  <c r="M582" i="2"/>
  <c r="O582" i="2" s="1"/>
  <c r="L582" i="2"/>
  <c r="J582" i="2"/>
  <c r="I582" i="2"/>
  <c r="N581" i="2"/>
  <c r="M581" i="2"/>
  <c r="O581" i="2" s="1"/>
  <c r="L581" i="2"/>
  <c r="J581" i="2"/>
  <c r="I581" i="2"/>
  <c r="A581" i="2"/>
  <c r="N580" i="2"/>
  <c r="I580" i="2"/>
  <c r="N579" i="2"/>
  <c r="L579" i="2" s="1"/>
  <c r="M579" i="2"/>
  <c r="O579" i="2" s="1"/>
  <c r="J579" i="2"/>
  <c r="I579" i="2"/>
  <c r="A579" i="2"/>
  <c r="N578" i="2"/>
  <c r="L578" i="2"/>
  <c r="I578" i="2"/>
  <c r="A578" i="2"/>
  <c r="O577" i="2"/>
  <c r="N577" i="2"/>
  <c r="M577" i="2"/>
  <c r="J577" i="2"/>
  <c r="N576" i="2"/>
  <c r="I576" i="2" s="1"/>
  <c r="M576" i="2"/>
  <c r="O576" i="2" s="1"/>
  <c r="L576" i="2"/>
  <c r="N575" i="2"/>
  <c r="N574" i="2"/>
  <c r="J574" i="2"/>
  <c r="N573" i="2"/>
  <c r="M573" i="2"/>
  <c r="O573" i="2" s="1"/>
  <c r="L573" i="2"/>
  <c r="J573" i="2"/>
  <c r="I573" i="2"/>
  <c r="A573" i="2"/>
  <c r="N572" i="2"/>
  <c r="M572" i="2" s="1"/>
  <c r="O572" i="2" s="1"/>
  <c r="L572" i="2"/>
  <c r="J572" i="2"/>
  <c r="I572" i="2"/>
  <c r="A572" i="2"/>
  <c r="N571" i="2"/>
  <c r="L571" i="2" s="1"/>
  <c r="M571" i="2"/>
  <c r="O571" i="2" s="1"/>
  <c r="J571" i="2"/>
  <c r="I571" i="2"/>
  <c r="A571" i="2"/>
  <c r="N570" i="2"/>
  <c r="N569" i="2"/>
  <c r="M569" i="2" s="1"/>
  <c r="O569" i="2" s="1"/>
  <c r="J569" i="2"/>
  <c r="A569" i="2"/>
  <c r="N568" i="2"/>
  <c r="A568" i="2" s="1"/>
  <c r="M568" i="2"/>
  <c r="O568" i="2" s="1"/>
  <c r="N567" i="2"/>
  <c r="J567" i="2"/>
  <c r="N566" i="2"/>
  <c r="A566" i="2" s="1"/>
  <c r="M566" i="2"/>
  <c r="O566" i="2" s="1"/>
  <c r="I566" i="2"/>
  <c r="N565" i="2"/>
  <c r="J565" i="2" s="1"/>
  <c r="M565" i="2"/>
  <c r="O565" i="2" s="1"/>
  <c r="L565" i="2"/>
  <c r="I565" i="2"/>
  <c r="A565" i="2"/>
  <c r="N564" i="2"/>
  <c r="M564" i="2" s="1"/>
  <c r="O564" i="2" s="1"/>
  <c r="L564" i="2"/>
  <c r="J564" i="2"/>
  <c r="A564" i="2"/>
  <c r="O563" i="2"/>
  <c r="N563" i="2"/>
  <c r="M563" i="2"/>
  <c r="L563" i="2"/>
  <c r="J563" i="2"/>
  <c r="I563" i="2"/>
  <c r="A563" i="2"/>
  <c r="N562" i="2"/>
  <c r="A562" i="2"/>
  <c r="N561" i="2"/>
  <c r="L561" i="2" s="1"/>
  <c r="M561" i="2"/>
  <c r="O561" i="2" s="1"/>
  <c r="A561" i="2"/>
  <c r="O560" i="2"/>
  <c r="N560" i="2"/>
  <c r="J560" i="2" s="1"/>
  <c r="M560" i="2"/>
  <c r="L560" i="2"/>
  <c r="I560" i="2"/>
  <c r="A560" i="2"/>
  <c r="N559" i="2"/>
  <c r="J559" i="2"/>
  <c r="N558" i="2"/>
  <c r="A558" i="2" s="1"/>
  <c r="M558" i="2"/>
  <c r="O558" i="2" s="1"/>
  <c r="I558" i="2"/>
  <c r="N557" i="2"/>
  <c r="J557" i="2" s="1"/>
  <c r="M557" i="2"/>
  <c r="O557" i="2" s="1"/>
  <c r="L557" i="2"/>
  <c r="I557" i="2"/>
  <c r="A557" i="2"/>
  <c r="N556" i="2"/>
  <c r="M556" i="2" s="1"/>
  <c r="O556" i="2" s="1"/>
  <c r="L556" i="2"/>
  <c r="J556" i="2"/>
  <c r="A556" i="2"/>
  <c r="O555" i="2"/>
  <c r="N555" i="2"/>
  <c r="M555" i="2"/>
  <c r="L555" i="2"/>
  <c r="J555" i="2"/>
  <c r="I555" i="2"/>
  <c r="A555" i="2"/>
  <c r="N554" i="2"/>
  <c r="A554" i="2"/>
  <c r="N553" i="2"/>
  <c r="L553" i="2" s="1"/>
  <c r="M553" i="2"/>
  <c r="O553" i="2" s="1"/>
  <c r="A553" i="2"/>
  <c r="O552" i="2"/>
  <c r="N552" i="2"/>
  <c r="J552" i="2" s="1"/>
  <c r="M552" i="2"/>
  <c r="L552" i="2"/>
  <c r="I552" i="2"/>
  <c r="A552" i="2"/>
  <c r="N551" i="2"/>
  <c r="J551" i="2"/>
  <c r="N550" i="2"/>
  <c r="A550" i="2" s="1"/>
  <c r="M550" i="2"/>
  <c r="O550" i="2" s="1"/>
  <c r="I550" i="2"/>
  <c r="N549" i="2"/>
  <c r="J549" i="2" s="1"/>
  <c r="M549" i="2"/>
  <c r="O549" i="2" s="1"/>
  <c r="L549" i="2"/>
  <c r="I549" i="2"/>
  <c r="A549" i="2"/>
  <c r="N548" i="2"/>
  <c r="M548" i="2" s="1"/>
  <c r="O548" i="2" s="1"/>
  <c r="L548" i="2"/>
  <c r="J548" i="2"/>
  <c r="A548" i="2"/>
  <c r="O547" i="2"/>
  <c r="N547" i="2"/>
  <c r="M547" i="2"/>
  <c r="L547" i="2"/>
  <c r="J547" i="2"/>
  <c r="I547" i="2"/>
  <c r="A547" i="2"/>
  <c r="N546" i="2"/>
  <c r="A546" i="2"/>
  <c r="N545" i="2"/>
  <c r="L545" i="2" s="1"/>
  <c r="M545" i="2"/>
  <c r="O545" i="2" s="1"/>
  <c r="A545" i="2"/>
  <c r="O544" i="2"/>
  <c r="N544" i="2"/>
  <c r="J544" i="2" s="1"/>
  <c r="M544" i="2"/>
  <c r="L544" i="2"/>
  <c r="I544" i="2"/>
  <c r="A544" i="2"/>
  <c r="N543" i="2"/>
  <c r="J543" i="2"/>
  <c r="N542" i="2"/>
  <c r="A542" i="2" s="1"/>
  <c r="M542" i="2"/>
  <c r="O542" i="2" s="1"/>
  <c r="I542" i="2"/>
  <c r="N541" i="2"/>
  <c r="J541" i="2" s="1"/>
  <c r="M541" i="2"/>
  <c r="O541" i="2" s="1"/>
  <c r="L541" i="2"/>
  <c r="I541" i="2"/>
  <c r="A541" i="2"/>
  <c r="N540" i="2"/>
  <c r="M540" i="2" s="1"/>
  <c r="O540" i="2" s="1"/>
  <c r="L540" i="2"/>
  <c r="J540" i="2"/>
  <c r="A540" i="2"/>
  <c r="O539" i="2"/>
  <c r="N539" i="2"/>
  <c r="M539" i="2"/>
  <c r="L539" i="2"/>
  <c r="J539" i="2"/>
  <c r="I539" i="2"/>
  <c r="A539" i="2"/>
  <c r="N538" i="2"/>
  <c r="A538" i="2"/>
  <c r="N537" i="2"/>
  <c r="L537" i="2" s="1"/>
  <c r="M537" i="2"/>
  <c r="O537" i="2" s="1"/>
  <c r="A537" i="2"/>
  <c r="O536" i="2"/>
  <c r="N536" i="2"/>
  <c r="J536" i="2" s="1"/>
  <c r="M536" i="2"/>
  <c r="L536" i="2"/>
  <c r="I536" i="2"/>
  <c r="A536" i="2"/>
  <c r="N535" i="2"/>
  <c r="J535" i="2"/>
  <c r="N534" i="2"/>
  <c r="A534" i="2" s="1"/>
  <c r="M534" i="2"/>
  <c r="O534" i="2" s="1"/>
  <c r="I534" i="2"/>
  <c r="N533" i="2"/>
  <c r="J533" i="2" s="1"/>
  <c r="M533" i="2"/>
  <c r="O533" i="2" s="1"/>
  <c r="L533" i="2"/>
  <c r="I533" i="2"/>
  <c r="A533" i="2"/>
  <c r="N532" i="2"/>
  <c r="M532" i="2" s="1"/>
  <c r="O532" i="2" s="1"/>
  <c r="L532" i="2"/>
  <c r="J532" i="2"/>
  <c r="A532" i="2"/>
  <c r="O531" i="2"/>
  <c r="N531" i="2"/>
  <c r="M531" i="2"/>
  <c r="L531" i="2"/>
  <c r="J531" i="2"/>
  <c r="I531" i="2"/>
  <c r="A531" i="2"/>
  <c r="N530" i="2"/>
  <c r="A530" i="2"/>
  <c r="N529" i="2"/>
  <c r="L529" i="2" s="1"/>
  <c r="M529" i="2"/>
  <c r="O529" i="2" s="1"/>
  <c r="A529" i="2"/>
  <c r="O528" i="2"/>
  <c r="N528" i="2"/>
  <c r="J528" i="2" s="1"/>
  <c r="M528" i="2"/>
  <c r="L528" i="2"/>
  <c r="I528" i="2"/>
  <c r="A528" i="2"/>
  <c r="N527" i="2"/>
  <c r="J527" i="2"/>
  <c r="N526" i="2"/>
  <c r="A526" i="2" s="1"/>
  <c r="M526" i="2"/>
  <c r="O526" i="2" s="1"/>
  <c r="I526" i="2"/>
  <c r="N525" i="2"/>
  <c r="J525" i="2" s="1"/>
  <c r="M525" i="2"/>
  <c r="O525" i="2" s="1"/>
  <c r="L525" i="2"/>
  <c r="I525" i="2"/>
  <c r="A525" i="2"/>
  <c r="N524" i="2"/>
  <c r="M524" i="2" s="1"/>
  <c r="O524" i="2" s="1"/>
  <c r="L524" i="2"/>
  <c r="J524" i="2"/>
  <c r="A524" i="2"/>
  <c r="O523" i="2"/>
  <c r="N523" i="2"/>
  <c r="M523" i="2"/>
  <c r="L523" i="2"/>
  <c r="J523" i="2"/>
  <c r="I523" i="2"/>
  <c r="A523" i="2"/>
  <c r="N522" i="2"/>
  <c r="A522" i="2"/>
  <c r="N521" i="2"/>
  <c r="L521" i="2" s="1"/>
  <c r="M521" i="2"/>
  <c r="O521" i="2" s="1"/>
  <c r="A521" i="2"/>
  <c r="O520" i="2"/>
  <c r="N520" i="2"/>
  <c r="J520" i="2" s="1"/>
  <c r="M520" i="2"/>
  <c r="L520" i="2"/>
  <c r="I520" i="2"/>
  <c r="A520" i="2"/>
  <c r="N519" i="2"/>
  <c r="J519" i="2"/>
  <c r="N518" i="2"/>
  <c r="A518" i="2" s="1"/>
  <c r="M518" i="2"/>
  <c r="O518" i="2" s="1"/>
  <c r="I518" i="2"/>
  <c r="N517" i="2"/>
  <c r="J517" i="2" s="1"/>
  <c r="M517" i="2"/>
  <c r="O517" i="2" s="1"/>
  <c r="L517" i="2"/>
  <c r="I517" i="2"/>
  <c r="A517" i="2"/>
  <c r="N516" i="2"/>
  <c r="M516" i="2" s="1"/>
  <c r="O516" i="2" s="1"/>
  <c r="L516" i="2"/>
  <c r="J516" i="2"/>
  <c r="A516" i="2"/>
  <c r="O515" i="2"/>
  <c r="N515" i="2"/>
  <c r="M515" i="2"/>
  <c r="L515" i="2"/>
  <c r="J515" i="2"/>
  <c r="I515" i="2"/>
  <c r="A515" i="2"/>
  <c r="N514" i="2"/>
  <c r="I514" i="2"/>
  <c r="N513" i="2"/>
  <c r="L513" i="2" s="1"/>
  <c r="M513" i="2"/>
  <c r="O513" i="2" s="1"/>
  <c r="A513" i="2"/>
  <c r="O512" i="2"/>
  <c r="N512" i="2"/>
  <c r="J512" i="2" s="1"/>
  <c r="M512" i="2"/>
  <c r="L512" i="2"/>
  <c r="I512" i="2"/>
  <c r="A512" i="2"/>
  <c r="N511" i="2"/>
  <c r="J511" i="2" s="1"/>
  <c r="N510" i="2"/>
  <c r="M510" i="2"/>
  <c r="O510" i="2" s="1"/>
  <c r="I510" i="2"/>
  <c r="N509" i="2"/>
  <c r="J509" i="2" s="1"/>
  <c r="M509" i="2"/>
  <c r="O509" i="2" s="1"/>
  <c r="L509" i="2"/>
  <c r="I509" i="2"/>
  <c r="A509" i="2"/>
  <c r="N508" i="2"/>
  <c r="M508" i="2" s="1"/>
  <c r="O508" i="2" s="1"/>
  <c r="L508" i="2"/>
  <c r="J508" i="2"/>
  <c r="A508" i="2"/>
  <c r="O507" i="2"/>
  <c r="N507" i="2"/>
  <c r="M507" i="2"/>
  <c r="L507" i="2"/>
  <c r="J507" i="2"/>
  <c r="I507" i="2"/>
  <c r="A507" i="2"/>
  <c r="N506" i="2"/>
  <c r="I506" i="2"/>
  <c r="A506" i="2"/>
  <c r="N505" i="2"/>
  <c r="L505" i="2" s="1"/>
  <c r="M505" i="2"/>
  <c r="O505" i="2" s="1"/>
  <c r="A505" i="2"/>
  <c r="O504" i="2"/>
  <c r="N504" i="2"/>
  <c r="J504" i="2" s="1"/>
  <c r="M504" i="2"/>
  <c r="L504" i="2"/>
  <c r="I504" i="2"/>
  <c r="A504" i="2"/>
  <c r="N503" i="2"/>
  <c r="L503" i="2"/>
  <c r="J503" i="2"/>
  <c r="N502" i="2"/>
  <c r="M502" i="2"/>
  <c r="O502" i="2" s="1"/>
  <c r="J502" i="2"/>
  <c r="N501" i="2"/>
  <c r="J501" i="2" s="1"/>
  <c r="M501" i="2"/>
  <c r="O501" i="2" s="1"/>
  <c r="L501" i="2"/>
  <c r="I501" i="2"/>
  <c r="A501" i="2"/>
  <c r="N500" i="2"/>
  <c r="M500" i="2" s="1"/>
  <c r="O500" i="2" s="1"/>
  <c r="L500" i="2"/>
  <c r="J500" i="2"/>
  <c r="A500" i="2"/>
  <c r="N499" i="2"/>
  <c r="M499" i="2"/>
  <c r="O499" i="2" s="1"/>
  <c r="L499" i="2"/>
  <c r="J499" i="2"/>
  <c r="I499" i="2"/>
  <c r="A499" i="2"/>
  <c r="N498" i="2"/>
  <c r="M498" i="2" s="1"/>
  <c r="O498" i="2" s="1"/>
  <c r="L498" i="2"/>
  <c r="J498" i="2"/>
  <c r="I498" i="2"/>
  <c r="A498" i="2"/>
  <c r="N497" i="2"/>
  <c r="A497" i="2"/>
  <c r="N496" i="2"/>
  <c r="J496" i="2" s="1"/>
  <c r="M496" i="2"/>
  <c r="O496" i="2" s="1"/>
  <c r="L496" i="2"/>
  <c r="I496" i="2"/>
  <c r="A496" i="2"/>
  <c r="N495" i="2"/>
  <c r="A495" i="2" s="1"/>
  <c r="L495" i="2"/>
  <c r="N494" i="2"/>
  <c r="M494" i="2" s="1"/>
  <c r="O494" i="2" s="1"/>
  <c r="I494" i="2"/>
  <c r="N493" i="2"/>
  <c r="J493" i="2" s="1"/>
  <c r="M493" i="2"/>
  <c r="O493" i="2" s="1"/>
  <c r="L493" i="2"/>
  <c r="N492" i="2"/>
  <c r="I492" i="2" s="1"/>
  <c r="M492" i="2"/>
  <c r="O492" i="2" s="1"/>
  <c r="L492" i="2"/>
  <c r="J492" i="2"/>
  <c r="A492" i="2"/>
  <c r="O491" i="2"/>
  <c r="N491" i="2"/>
  <c r="M491" i="2"/>
  <c r="L491" i="2"/>
  <c r="J491" i="2"/>
  <c r="I491" i="2"/>
  <c r="A491" i="2"/>
  <c r="N490" i="2"/>
  <c r="A490" i="2"/>
  <c r="N489" i="2"/>
  <c r="I489" i="2" s="1"/>
  <c r="N488" i="2"/>
  <c r="J488" i="2" s="1"/>
  <c r="M488" i="2"/>
  <c r="O488" i="2" s="1"/>
  <c r="L488" i="2"/>
  <c r="I488" i="2"/>
  <c r="A488" i="2"/>
  <c r="N487" i="2"/>
  <c r="L487" i="2" s="1"/>
  <c r="A487" i="2"/>
  <c r="O486" i="2"/>
  <c r="N486" i="2"/>
  <c r="M486" i="2"/>
  <c r="J486" i="2"/>
  <c r="N485" i="2"/>
  <c r="J485" i="2" s="1"/>
  <c r="M485" i="2"/>
  <c r="O485" i="2" s="1"/>
  <c r="L485" i="2"/>
  <c r="I485" i="2"/>
  <c r="A485" i="2"/>
  <c r="N484" i="2"/>
  <c r="A484" i="2"/>
  <c r="N483" i="2"/>
  <c r="M483" i="2"/>
  <c r="O483" i="2" s="1"/>
  <c r="L483" i="2"/>
  <c r="J483" i="2"/>
  <c r="I483" i="2"/>
  <c r="A483" i="2"/>
  <c r="N482" i="2"/>
  <c r="J482" i="2"/>
  <c r="I482" i="2"/>
  <c r="N481" i="2"/>
  <c r="L481" i="2" s="1"/>
  <c r="M481" i="2"/>
  <c r="O481" i="2" s="1"/>
  <c r="J481" i="2"/>
  <c r="I481" i="2"/>
  <c r="A481" i="2"/>
  <c r="O480" i="2"/>
  <c r="N480" i="2"/>
  <c r="J480" i="2" s="1"/>
  <c r="M480" i="2"/>
  <c r="L480" i="2"/>
  <c r="I480" i="2"/>
  <c r="A480" i="2"/>
  <c r="N479" i="2"/>
  <c r="L479" i="2"/>
  <c r="J479" i="2"/>
  <c r="N478" i="2"/>
  <c r="M478" i="2"/>
  <c r="O478" i="2" s="1"/>
  <c r="J478" i="2"/>
  <c r="I478" i="2"/>
  <c r="N477" i="2"/>
  <c r="A477" i="2" s="1"/>
  <c r="N476" i="2"/>
  <c r="J476" i="2" s="1"/>
  <c r="L476" i="2"/>
  <c r="N475" i="2"/>
  <c r="M475" i="2"/>
  <c r="O475" i="2" s="1"/>
  <c r="L475" i="2"/>
  <c r="J475" i="2"/>
  <c r="I475" i="2"/>
  <c r="A475" i="2"/>
  <c r="O474" i="2"/>
  <c r="N474" i="2"/>
  <c r="M474" i="2" s="1"/>
  <c r="L474" i="2"/>
  <c r="J474" i="2"/>
  <c r="I474" i="2"/>
  <c r="A474" i="2"/>
  <c r="N473" i="2"/>
  <c r="M473" i="2"/>
  <c r="O473" i="2" s="1"/>
  <c r="O472" i="2"/>
  <c r="N472" i="2"/>
  <c r="J472" i="2" s="1"/>
  <c r="M472" i="2"/>
  <c r="L472" i="2"/>
  <c r="I472" i="2"/>
  <c r="A472" i="2"/>
  <c r="N471" i="2"/>
  <c r="L471" i="2"/>
  <c r="J471" i="2"/>
  <c r="A471" i="2"/>
  <c r="N470" i="2"/>
  <c r="N469" i="2"/>
  <c r="L469" i="2" s="1"/>
  <c r="I469" i="2"/>
  <c r="N468" i="2"/>
  <c r="M468" i="2"/>
  <c r="O468" i="2" s="1"/>
  <c r="L468" i="2"/>
  <c r="J468" i="2"/>
  <c r="I468" i="2"/>
  <c r="A468" i="2"/>
  <c r="O467" i="2"/>
  <c r="N467" i="2"/>
  <c r="M467" i="2"/>
  <c r="L467" i="2"/>
  <c r="J467" i="2"/>
  <c r="I467" i="2"/>
  <c r="A467" i="2"/>
  <c r="N466" i="2"/>
  <c r="I466" i="2"/>
  <c r="A466" i="2"/>
  <c r="N465" i="2"/>
  <c r="M465" i="2"/>
  <c r="O465" i="2" s="1"/>
  <c r="N464" i="2"/>
  <c r="M464" i="2"/>
  <c r="O464" i="2" s="1"/>
  <c r="L464" i="2"/>
  <c r="N463" i="2"/>
  <c r="M463" i="2"/>
  <c r="O463" i="2" s="1"/>
  <c r="N462" i="2"/>
  <c r="A462" i="2" s="1"/>
  <c r="M462" i="2"/>
  <c r="O462" i="2" s="1"/>
  <c r="L462" i="2"/>
  <c r="J462" i="2"/>
  <c r="I462" i="2"/>
  <c r="N461" i="2"/>
  <c r="M461" i="2"/>
  <c r="O461" i="2" s="1"/>
  <c r="L461" i="2"/>
  <c r="J461" i="2"/>
  <c r="I461" i="2"/>
  <c r="A461" i="2"/>
  <c r="O460" i="2"/>
  <c r="N460" i="2"/>
  <c r="M460" i="2"/>
  <c r="L460" i="2"/>
  <c r="J460" i="2"/>
  <c r="I460" i="2"/>
  <c r="A460" i="2"/>
  <c r="O459" i="2"/>
  <c r="N459" i="2"/>
  <c r="M459" i="2" s="1"/>
  <c r="J459" i="2"/>
  <c r="I459" i="2"/>
  <c r="A459" i="2"/>
  <c r="N458" i="2"/>
  <c r="I458" i="2"/>
  <c r="A458" i="2"/>
  <c r="N457" i="2"/>
  <c r="M457" i="2"/>
  <c r="O457" i="2" s="1"/>
  <c r="N456" i="2"/>
  <c r="M456" i="2"/>
  <c r="O456" i="2" s="1"/>
  <c r="L456" i="2"/>
  <c r="N455" i="2"/>
  <c r="M455" i="2"/>
  <c r="O455" i="2" s="1"/>
  <c r="N454" i="2"/>
  <c r="A454" i="2" s="1"/>
  <c r="M454" i="2"/>
  <c r="O454" i="2" s="1"/>
  <c r="L454" i="2"/>
  <c r="J454" i="2"/>
  <c r="I454" i="2"/>
  <c r="N453" i="2"/>
  <c r="M453" i="2"/>
  <c r="O453" i="2" s="1"/>
  <c r="L453" i="2"/>
  <c r="J453" i="2"/>
  <c r="I453" i="2"/>
  <c r="A453" i="2"/>
  <c r="O452" i="2"/>
  <c r="N452" i="2"/>
  <c r="M452" i="2"/>
  <c r="L452" i="2"/>
  <c r="J452" i="2"/>
  <c r="I452" i="2"/>
  <c r="A452" i="2"/>
  <c r="O451" i="2"/>
  <c r="N451" i="2"/>
  <c r="M451" i="2" s="1"/>
  <c r="J451" i="2"/>
  <c r="I451" i="2"/>
  <c r="A451" i="2"/>
  <c r="N450" i="2"/>
  <c r="I450" i="2"/>
  <c r="A450" i="2"/>
  <c r="N449" i="2"/>
  <c r="N448" i="2"/>
  <c r="M448" i="2"/>
  <c r="O448" i="2" s="1"/>
  <c r="L448" i="2"/>
  <c r="N447" i="2"/>
  <c r="N446" i="2"/>
  <c r="A446" i="2" s="1"/>
  <c r="M446" i="2"/>
  <c r="O446" i="2" s="1"/>
  <c r="L446" i="2"/>
  <c r="J446" i="2"/>
  <c r="I446" i="2"/>
  <c r="N445" i="2"/>
  <c r="M445" i="2"/>
  <c r="O445" i="2" s="1"/>
  <c r="L445" i="2"/>
  <c r="J445" i="2"/>
  <c r="I445" i="2"/>
  <c r="A445" i="2"/>
  <c r="N444" i="2"/>
  <c r="M444" i="2" s="1"/>
  <c r="O444" i="2" s="1"/>
  <c r="L444" i="2"/>
  <c r="J444" i="2"/>
  <c r="I444" i="2"/>
  <c r="A444" i="2"/>
  <c r="N443" i="2"/>
  <c r="M443" i="2" s="1"/>
  <c r="O443" i="2" s="1"/>
  <c r="J443" i="2"/>
  <c r="I443" i="2"/>
  <c r="A443" i="2"/>
  <c r="N442" i="2"/>
  <c r="A442" i="2" s="1"/>
  <c r="I442" i="2"/>
  <c r="N441" i="2"/>
  <c r="A441" i="2"/>
  <c r="O440" i="2"/>
  <c r="N440" i="2"/>
  <c r="L440" i="2" s="1"/>
  <c r="M440" i="2"/>
  <c r="N439" i="2"/>
  <c r="L439" i="2"/>
  <c r="J439" i="2"/>
  <c r="N438" i="2"/>
  <c r="A438" i="2" s="1"/>
  <c r="M438" i="2"/>
  <c r="O438" i="2" s="1"/>
  <c r="J438" i="2"/>
  <c r="I438" i="2"/>
  <c r="N437" i="2"/>
  <c r="M437" i="2"/>
  <c r="O437" i="2" s="1"/>
  <c r="L437" i="2"/>
  <c r="J437" i="2"/>
  <c r="I437" i="2"/>
  <c r="A437" i="2"/>
  <c r="N436" i="2"/>
  <c r="M436" i="2" s="1"/>
  <c r="O436" i="2" s="1"/>
  <c r="L436" i="2"/>
  <c r="J436" i="2"/>
  <c r="I436" i="2"/>
  <c r="A436" i="2"/>
  <c r="N435" i="2"/>
  <c r="M435" i="2" s="1"/>
  <c r="O435" i="2" s="1"/>
  <c r="J435" i="2"/>
  <c r="I435" i="2"/>
  <c r="A435" i="2"/>
  <c r="N434" i="2"/>
  <c r="I434" i="2" s="1"/>
  <c r="N433" i="2"/>
  <c r="M433" i="2"/>
  <c r="O433" i="2" s="1"/>
  <c r="A433" i="2"/>
  <c r="N432" i="2"/>
  <c r="M432" i="2"/>
  <c r="O432" i="2" s="1"/>
  <c r="N431" i="2"/>
  <c r="M431" i="2"/>
  <c r="O431" i="2" s="1"/>
  <c r="L431" i="2"/>
  <c r="J431" i="2"/>
  <c r="N430" i="2"/>
  <c r="M430" i="2"/>
  <c r="O430" i="2" s="1"/>
  <c r="N429" i="2"/>
  <c r="M429" i="2"/>
  <c r="O429" i="2" s="1"/>
  <c r="L429" i="2"/>
  <c r="J429" i="2"/>
  <c r="I429" i="2"/>
  <c r="A429" i="2"/>
  <c r="N428" i="2"/>
  <c r="M428" i="2" s="1"/>
  <c r="O428" i="2" s="1"/>
  <c r="L428" i="2"/>
  <c r="J428" i="2"/>
  <c r="I428" i="2"/>
  <c r="A428" i="2"/>
  <c r="O427" i="2"/>
  <c r="N427" i="2"/>
  <c r="M427" i="2" s="1"/>
  <c r="J427" i="2"/>
  <c r="I427" i="2"/>
  <c r="A427" i="2"/>
  <c r="N426" i="2"/>
  <c r="A426" i="2"/>
  <c r="O425" i="2"/>
  <c r="N425" i="2"/>
  <c r="A425" i="2" s="1"/>
  <c r="M425" i="2"/>
  <c r="N424" i="2"/>
  <c r="L424" i="2"/>
  <c r="O423" i="2"/>
  <c r="N423" i="2"/>
  <c r="L423" i="2" s="1"/>
  <c r="M423" i="2"/>
  <c r="J423" i="2"/>
  <c r="N422" i="2"/>
  <c r="L422" i="2" s="1"/>
  <c r="J422" i="2"/>
  <c r="N421" i="2"/>
  <c r="M421" i="2"/>
  <c r="O421" i="2" s="1"/>
  <c r="L421" i="2"/>
  <c r="J421" i="2"/>
  <c r="I421" i="2"/>
  <c r="A421" i="2"/>
  <c r="N420" i="2"/>
  <c r="M420" i="2" s="1"/>
  <c r="O420" i="2" s="1"/>
  <c r="L420" i="2"/>
  <c r="J420" i="2"/>
  <c r="I420" i="2"/>
  <c r="A420" i="2"/>
  <c r="O419" i="2"/>
  <c r="N419" i="2"/>
  <c r="M419" i="2" s="1"/>
  <c r="J419" i="2"/>
  <c r="I419" i="2"/>
  <c r="A419" i="2"/>
  <c r="N418" i="2"/>
  <c r="I418" i="2"/>
  <c r="A418" i="2"/>
  <c r="N417" i="2"/>
  <c r="M417" i="2" s="1"/>
  <c r="O417" i="2" s="1"/>
  <c r="N416" i="2"/>
  <c r="M416" i="2"/>
  <c r="O416" i="2" s="1"/>
  <c r="L416" i="2"/>
  <c r="N415" i="2"/>
  <c r="M415" i="2"/>
  <c r="O415" i="2" s="1"/>
  <c r="N414" i="2"/>
  <c r="A414" i="2" s="1"/>
  <c r="M414" i="2"/>
  <c r="O414" i="2" s="1"/>
  <c r="L414" i="2"/>
  <c r="J414" i="2"/>
  <c r="I414" i="2"/>
  <c r="N413" i="2"/>
  <c r="M413" i="2"/>
  <c r="O413" i="2" s="1"/>
  <c r="L413" i="2"/>
  <c r="J413" i="2"/>
  <c r="I413" i="2"/>
  <c r="A413" i="2"/>
  <c r="N412" i="2"/>
  <c r="M412" i="2" s="1"/>
  <c r="O412" i="2" s="1"/>
  <c r="L412" i="2"/>
  <c r="J412" i="2"/>
  <c r="I412" i="2"/>
  <c r="A412" i="2"/>
  <c r="N411" i="2"/>
  <c r="M411" i="2" s="1"/>
  <c r="O411" i="2" s="1"/>
  <c r="J411" i="2"/>
  <c r="I411" i="2"/>
  <c r="A411" i="2"/>
  <c r="N410" i="2"/>
  <c r="A410" i="2" s="1"/>
  <c r="I410" i="2"/>
  <c r="N409" i="2"/>
  <c r="O408" i="2"/>
  <c r="N408" i="2"/>
  <c r="L408" i="2" s="1"/>
  <c r="M408" i="2"/>
  <c r="N407" i="2"/>
  <c r="L407" i="2" s="1"/>
  <c r="J407" i="2"/>
  <c r="N406" i="2"/>
  <c r="A406" i="2" s="1"/>
  <c r="M406" i="2"/>
  <c r="O406" i="2" s="1"/>
  <c r="J406" i="2"/>
  <c r="I406" i="2"/>
  <c r="N405" i="2"/>
  <c r="M405" i="2"/>
  <c r="O405" i="2" s="1"/>
  <c r="L405" i="2"/>
  <c r="J405" i="2"/>
  <c r="I405" i="2"/>
  <c r="A405" i="2"/>
  <c r="N404" i="2"/>
  <c r="M404" i="2" s="1"/>
  <c r="O404" i="2" s="1"/>
  <c r="L404" i="2"/>
  <c r="J404" i="2"/>
  <c r="I404" i="2"/>
  <c r="A404" i="2"/>
  <c r="N403" i="2"/>
  <c r="M403" i="2" s="1"/>
  <c r="O403" i="2" s="1"/>
  <c r="J403" i="2"/>
  <c r="I403" i="2"/>
  <c r="A403" i="2"/>
  <c r="N402" i="2"/>
  <c r="N401" i="2"/>
  <c r="M401" i="2"/>
  <c r="O401" i="2" s="1"/>
  <c r="A401" i="2"/>
  <c r="N400" i="2"/>
  <c r="N399" i="2"/>
  <c r="M399" i="2"/>
  <c r="O399" i="2" s="1"/>
  <c r="L399" i="2"/>
  <c r="J399" i="2"/>
  <c r="N398" i="2"/>
  <c r="M398" i="2"/>
  <c r="O398" i="2" s="1"/>
  <c r="N397" i="2"/>
  <c r="M397" i="2"/>
  <c r="O397" i="2" s="1"/>
  <c r="L397" i="2"/>
  <c r="J397" i="2"/>
  <c r="I397" i="2"/>
  <c r="A397" i="2"/>
  <c r="N396" i="2"/>
  <c r="M396" i="2" s="1"/>
  <c r="O396" i="2" s="1"/>
  <c r="L396" i="2"/>
  <c r="J396" i="2"/>
  <c r="I396" i="2"/>
  <c r="A396" i="2"/>
  <c r="O395" i="2"/>
  <c r="N395" i="2"/>
  <c r="M395" i="2" s="1"/>
  <c r="J395" i="2"/>
  <c r="I395" i="2"/>
  <c r="A395" i="2"/>
  <c r="N394" i="2"/>
  <c r="O393" i="2"/>
  <c r="N393" i="2"/>
  <c r="A393" i="2" s="1"/>
  <c r="M393" i="2"/>
  <c r="N392" i="2"/>
  <c r="L392" i="2" s="1"/>
  <c r="O391" i="2"/>
  <c r="N391" i="2"/>
  <c r="L391" i="2" s="1"/>
  <c r="M391" i="2"/>
  <c r="J391" i="2"/>
  <c r="N390" i="2"/>
  <c r="N389" i="2"/>
  <c r="M389" i="2"/>
  <c r="O389" i="2" s="1"/>
  <c r="L389" i="2"/>
  <c r="J389" i="2"/>
  <c r="I389" i="2"/>
  <c r="A389" i="2"/>
  <c r="N388" i="2"/>
  <c r="M388" i="2" s="1"/>
  <c r="O388" i="2" s="1"/>
  <c r="L388" i="2"/>
  <c r="J388" i="2"/>
  <c r="I388" i="2"/>
  <c r="A388" i="2"/>
  <c r="N387" i="2"/>
  <c r="J387" i="2"/>
  <c r="I387" i="2"/>
  <c r="N386" i="2"/>
  <c r="M386" i="2"/>
  <c r="O386" i="2" s="1"/>
  <c r="I386" i="2"/>
  <c r="A386" i="2"/>
  <c r="N385" i="2"/>
  <c r="N384" i="2"/>
  <c r="N383" i="2"/>
  <c r="A383" i="2" s="1"/>
  <c r="L383" i="2"/>
  <c r="J383" i="2"/>
  <c r="I383" i="2"/>
  <c r="N382" i="2"/>
  <c r="M382" i="2"/>
  <c r="O382" i="2" s="1"/>
  <c r="N381" i="2"/>
  <c r="M381" i="2"/>
  <c r="O381" i="2" s="1"/>
  <c r="L381" i="2"/>
  <c r="J381" i="2"/>
  <c r="I381" i="2"/>
  <c r="A381" i="2"/>
  <c r="N380" i="2"/>
  <c r="M380" i="2" s="1"/>
  <c r="O380" i="2" s="1"/>
  <c r="L380" i="2"/>
  <c r="J380" i="2"/>
  <c r="I380" i="2"/>
  <c r="A380" i="2"/>
  <c r="N379" i="2"/>
  <c r="J379" i="2" s="1"/>
  <c r="I379" i="2"/>
  <c r="A379" i="2"/>
  <c r="N378" i="2"/>
  <c r="M378" i="2"/>
  <c r="O378" i="2" s="1"/>
  <c r="N377" i="2"/>
  <c r="L377" i="2" s="1"/>
  <c r="M377" i="2"/>
  <c r="O377" i="2" s="1"/>
  <c r="A377" i="2"/>
  <c r="O376" i="2"/>
  <c r="N376" i="2"/>
  <c r="L376" i="2" s="1"/>
  <c r="M376" i="2"/>
  <c r="J376" i="2"/>
  <c r="O375" i="2"/>
  <c r="N375" i="2"/>
  <c r="A375" i="2" s="1"/>
  <c r="M375" i="2"/>
  <c r="L375" i="2"/>
  <c r="N374" i="2"/>
  <c r="M374" i="2"/>
  <c r="O374" i="2" s="1"/>
  <c r="L374" i="2"/>
  <c r="J374" i="2"/>
  <c r="I374" i="2"/>
  <c r="A374" i="2"/>
  <c r="N373" i="2"/>
  <c r="M373" i="2"/>
  <c r="O373" i="2" s="1"/>
  <c r="L373" i="2"/>
  <c r="J373" i="2"/>
  <c r="I373" i="2"/>
  <c r="A373" i="2"/>
  <c r="O372" i="2"/>
  <c r="N372" i="2"/>
  <c r="M372" i="2" s="1"/>
  <c r="L372" i="2"/>
  <c r="J372" i="2"/>
  <c r="I372" i="2"/>
  <c r="A372" i="2"/>
  <c r="N371" i="2"/>
  <c r="J371" i="2"/>
  <c r="I371" i="2"/>
  <c r="N370" i="2"/>
  <c r="M370" i="2"/>
  <c r="O370" i="2" s="1"/>
  <c r="I370" i="2"/>
  <c r="A370" i="2"/>
  <c r="N369" i="2"/>
  <c r="N368" i="2"/>
  <c r="N367" i="2"/>
  <c r="A367" i="2" s="1"/>
  <c r="L367" i="2"/>
  <c r="J367" i="2"/>
  <c r="I367" i="2"/>
  <c r="N366" i="2"/>
  <c r="N365" i="2"/>
  <c r="M365" i="2" s="1"/>
  <c r="O365" i="2" s="1"/>
  <c r="O364" i="2"/>
  <c r="N364" i="2"/>
  <c r="J364" i="2" s="1"/>
  <c r="M364" i="2"/>
  <c r="L364" i="2"/>
  <c r="N363" i="2"/>
  <c r="N362" i="2"/>
  <c r="A362" i="2" s="1"/>
  <c r="M362" i="2"/>
  <c r="O362" i="2" s="1"/>
  <c r="J362" i="2"/>
  <c r="I362" i="2"/>
  <c r="N361" i="2"/>
  <c r="M361" i="2"/>
  <c r="O361" i="2" s="1"/>
  <c r="L361" i="2"/>
  <c r="J361" i="2"/>
  <c r="I361" i="2"/>
  <c r="A361" i="2"/>
  <c r="N360" i="2"/>
  <c r="M360" i="2" s="1"/>
  <c r="O360" i="2" s="1"/>
  <c r="L360" i="2"/>
  <c r="J360" i="2"/>
  <c r="I360" i="2"/>
  <c r="A360" i="2"/>
  <c r="O359" i="2"/>
  <c r="N359" i="2"/>
  <c r="L359" i="2" s="1"/>
  <c r="M359" i="2"/>
  <c r="J359" i="2"/>
  <c r="I359" i="2"/>
  <c r="A359" i="2"/>
  <c r="N358" i="2"/>
  <c r="A358" i="2"/>
  <c r="N357" i="2"/>
  <c r="M357" i="2"/>
  <c r="O357" i="2" s="1"/>
  <c r="O356" i="2"/>
  <c r="N356" i="2"/>
  <c r="J356" i="2" s="1"/>
  <c r="M356" i="2"/>
  <c r="L356" i="2"/>
  <c r="N355" i="2"/>
  <c r="J355" i="2" s="1"/>
  <c r="L355" i="2"/>
  <c r="N354" i="2"/>
  <c r="A354" i="2" s="1"/>
  <c r="M354" i="2"/>
  <c r="O354" i="2" s="1"/>
  <c r="J354" i="2"/>
  <c r="I354" i="2"/>
  <c r="N353" i="2"/>
  <c r="M353" i="2"/>
  <c r="O353" i="2" s="1"/>
  <c r="L353" i="2"/>
  <c r="J353" i="2"/>
  <c r="I353" i="2"/>
  <c r="A353" i="2"/>
  <c r="N352" i="2"/>
  <c r="M352" i="2" s="1"/>
  <c r="O352" i="2" s="1"/>
  <c r="L352" i="2"/>
  <c r="J352" i="2"/>
  <c r="I352" i="2"/>
  <c r="A352" i="2"/>
  <c r="O351" i="2"/>
  <c r="N351" i="2"/>
  <c r="L351" i="2" s="1"/>
  <c r="M351" i="2"/>
  <c r="J351" i="2"/>
  <c r="I351" i="2"/>
  <c r="A351" i="2"/>
  <c r="N350" i="2"/>
  <c r="A350" i="2" s="1"/>
  <c r="N349" i="2"/>
  <c r="M349" i="2"/>
  <c r="O349" i="2" s="1"/>
  <c r="N348" i="2"/>
  <c r="J348" i="2" s="1"/>
  <c r="M348" i="2"/>
  <c r="O348" i="2" s="1"/>
  <c r="L348" i="2"/>
  <c r="N347" i="2"/>
  <c r="L347" i="2" s="1"/>
  <c r="J347" i="2"/>
  <c r="N346" i="2"/>
  <c r="A346" i="2" s="1"/>
  <c r="M346" i="2"/>
  <c r="O346" i="2" s="1"/>
  <c r="J346" i="2"/>
  <c r="I346" i="2"/>
  <c r="N345" i="2"/>
  <c r="M345" i="2"/>
  <c r="O345" i="2" s="1"/>
  <c r="L345" i="2"/>
  <c r="J345" i="2"/>
  <c r="I345" i="2"/>
  <c r="A345" i="2"/>
  <c r="N344" i="2"/>
  <c r="M344" i="2" s="1"/>
  <c r="O344" i="2" s="1"/>
  <c r="L344" i="2"/>
  <c r="J344" i="2"/>
  <c r="I344" i="2"/>
  <c r="A344" i="2"/>
  <c r="O343" i="2"/>
  <c r="N343" i="2"/>
  <c r="L343" i="2" s="1"/>
  <c r="M343" i="2"/>
  <c r="J343" i="2"/>
  <c r="I343" i="2"/>
  <c r="A343" i="2"/>
  <c r="N342" i="2"/>
  <c r="A342" i="2"/>
  <c r="N341" i="2"/>
  <c r="O340" i="2"/>
  <c r="N340" i="2"/>
  <c r="J340" i="2" s="1"/>
  <c r="M340" i="2"/>
  <c r="L340" i="2"/>
  <c r="N339" i="2"/>
  <c r="L339" i="2"/>
  <c r="J339" i="2"/>
  <c r="N338" i="2"/>
  <c r="A338" i="2" s="1"/>
  <c r="M338" i="2"/>
  <c r="O338" i="2" s="1"/>
  <c r="J338" i="2"/>
  <c r="I338" i="2"/>
  <c r="N337" i="2"/>
  <c r="M337" i="2"/>
  <c r="O337" i="2" s="1"/>
  <c r="L337" i="2"/>
  <c r="J337" i="2"/>
  <c r="I337" i="2"/>
  <c r="A337" i="2"/>
  <c r="N336" i="2"/>
  <c r="M336" i="2" s="1"/>
  <c r="O336" i="2" s="1"/>
  <c r="L336" i="2"/>
  <c r="J336" i="2"/>
  <c r="I336" i="2"/>
  <c r="A336" i="2"/>
  <c r="O335" i="2"/>
  <c r="N335" i="2"/>
  <c r="L335" i="2" s="1"/>
  <c r="M335" i="2"/>
  <c r="J335" i="2"/>
  <c r="I335" i="2"/>
  <c r="A335" i="2"/>
  <c r="N334" i="2"/>
  <c r="A334" i="2"/>
  <c r="N333" i="2"/>
  <c r="M333" i="2"/>
  <c r="O333" i="2" s="1"/>
  <c r="O332" i="2"/>
  <c r="N332" i="2"/>
  <c r="J332" i="2" s="1"/>
  <c r="M332" i="2"/>
  <c r="L332" i="2"/>
  <c r="N331" i="2"/>
  <c r="J331" i="2" s="1"/>
  <c r="L331" i="2"/>
  <c r="N330" i="2"/>
  <c r="A330" i="2" s="1"/>
  <c r="M330" i="2"/>
  <c r="O330" i="2" s="1"/>
  <c r="J330" i="2"/>
  <c r="I330" i="2"/>
  <c r="N329" i="2"/>
  <c r="M329" i="2"/>
  <c r="O329" i="2" s="1"/>
  <c r="L329" i="2"/>
  <c r="J329" i="2"/>
  <c r="I329" i="2"/>
  <c r="A329" i="2"/>
  <c r="N328" i="2"/>
  <c r="M328" i="2" s="1"/>
  <c r="O328" i="2" s="1"/>
  <c r="L328" i="2"/>
  <c r="J328" i="2"/>
  <c r="I328" i="2"/>
  <c r="A328" i="2"/>
  <c r="O327" i="2"/>
  <c r="N327" i="2"/>
  <c r="L327" i="2" s="1"/>
  <c r="M327" i="2"/>
  <c r="J327" i="2"/>
  <c r="I327" i="2"/>
  <c r="A327" i="2"/>
  <c r="N326" i="2"/>
  <c r="N325" i="2"/>
  <c r="M325" i="2" s="1"/>
  <c r="O325" i="2" s="1"/>
  <c r="O324" i="2"/>
  <c r="N324" i="2"/>
  <c r="J324" i="2" s="1"/>
  <c r="M324" i="2"/>
  <c r="L324" i="2"/>
  <c r="N323" i="2"/>
  <c r="J323" i="2"/>
  <c r="N322" i="2"/>
  <c r="A322" i="2" s="1"/>
  <c r="M322" i="2"/>
  <c r="O322" i="2" s="1"/>
  <c r="J322" i="2"/>
  <c r="I322" i="2"/>
  <c r="N321" i="2"/>
  <c r="M321" i="2"/>
  <c r="O321" i="2" s="1"/>
  <c r="L321" i="2"/>
  <c r="J321" i="2"/>
  <c r="I321" i="2"/>
  <c r="A321" i="2"/>
  <c r="N320" i="2"/>
  <c r="M320" i="2" s="1"/>
  <c r="O320" i="2" s="1"/>
  <c r="L320" i="2"/>
  <c r="J320" i="2"/>
  <c r="I320" i="2"/>
  <c r="A320" i="2"/>
  <c r="O319" i="2"/>
  <c r="N319" i="2"/>
  <c r="L319" i="2" s="1"/>
  <c r="M319" i="2"/>
  <c r="J319" i="2"/>
  <c r="I319" i="2"/>
  <c r="A319" i="2"/>
  <c r="N318" i="2"/>
  <c r="A318" i="2"/>
  <c r="N317" i="2"/>
  <c r="N316" i="2"/>
  <c r="J316" i="2" s="1"/>
  <c r="M316" i="2"/>
  <c r="O316" i="2" s="1"/>
  <c r="L316" i="2"/>
  <c r="N315" i="2"/>
  <c r="L315" i="2"/>
  <c r="J315" i="2"/>
  <c r="N314" i="2"/>
  <c r="A314" i="2" s="1"/>
  <c r="M314" i="2"/>
  <c r="O314" i="2" s="1"/>
  <c r="J314" i="2"/>
  <c r="I314" i="2"/>
  <c r="N313" i="2"/>
  <c r="M313" i="2"/>
  <c r="O313" i="2" s="1"/>
  <c r="L313" i="2"/>
  <c r="J313" i="2"/>
  <c r="I313" i="2"/>
  <c r="A313" i="2"/>
  <c r="N312" i="2"/>
  <c r="M312" i="2" s="1"/>
  <c r="O312" i="2" s="1"/>
  <c r="L312" i="2"/>
  <c r="J312" i="2"/>
  <c r="I312" i="2"/>
  <c r="A312" i="2"/>
  <c r="O311" i="2"/>
  <c r="N311" i="2"/>
  <c r="M311" i="2"/>
  <c r="L311" i="2"/>
  <c r="J311" i="2"/>
  <c r="I311" i="2"/>
  <c r="A311" i="2"/>
  <c r="N310" i="2"/>
  <c r="N309" i="2"/>
  <c r="M309" i="2" s="1"/>
  <c r="O309" i="2" s="1"/>
  <c r="O308" i="2"/>
  <c r="N308" i="2"/>
  <c r="J308" i="2" s="1"/>
  <c r="M308" i="2"/>
  <c r="L308" i="2"/>
  <c r="N307" i="2"/>
  <c r="N306" i="2"/>
  <c r="A306" i="2" s="1"/>
  <c r="M306" i="2"/>
  <c r="O306" i="2" s="1"/>
  <c r="J306" i="2"/>
  <c r="I306" i="2"/>
  <c r="N305" i="2"/>
  <c r="M305" i="2"/>
  <c r="O305" i="2" s="1"/>
  <c r="L305" i="2"/>
  <c r="J305" i="2"/>
  <c r="I305" i="2"/>
  <c r="A305" i="2"/>
  <c r="N304" i="2"/>
  <c r="M304" i="2" s="1"/>
  <c r="O304" i="2" s="1"/>
  <c r="L304" i="2"/>
  <c r="J304" i="2"/>
  <c r="I304" i="2"/>
  <c r="A304" i="2"/>
  <c r="O303" i="2"/>
  <c r="N303" i="2"/>
  <c r="L303" i="2" s="1"/>
  <c r="M303" i="2"/>
  <c r="J303" i="2"/>
  <c r="I303" i="2"/>
  <c r="A303" i="2"/>
  <c r="N302" i="2"/>
  <c r="A302" i="2"/>
  <c r="N301" i="2"/>
  <c r="M301" i="2"/>
  <c r="O301" i="2" s="1"/>
  <c r="O300" i="2"/>
  <c r="N300" i="2"/>
  <c r="J300" i="2" s="1"/>
  <c r="M300" i="2"/>
  <c r="L300" i="2"/>
  <c r="N299" i="2"/>
  <c r="J299" i="2" s="1"/>
  <c r="L299" i="2"/>
  <c r="N298" i="2"/>
  <c r="A298" i="2" s="1"/>
  <c r="M298" i="2"/>
  <c r="O298" i="2" s="1"/>
  <c r="J298" i="2"/>
  <c r="I298" i="2"/>
  <c r="N297" i="2"/>
  <c r="M297" i="2"/>
  <c r="O297" i="2" s="1"/>
  <c r="L297" i="2"/>
  <c r="J297" i="2"/>
  <c r="I297" i="2"/>
  <c r="A297" i="2"/>
  <c r="N296" i="2"/>
  <c r="M296" i="2" s="1"/>
  <c r="O296" i="2" s="1"/>
  <c r="L296" i="2"/>
  <c r="J296" i="2"/>
  <c r="I296" i="2"/>
  <c r="A296" i="2"/>
  <c r="O295" i="2"/>
  <c r="N295" i="2"/>
  <c r="M295" i="2"/>
  <c r="L295" i="2"/>
  <c r="J295" i="2"/>
  <c r="I295" i="2"/>
  <c r="A295" i="2"/>
  <c r="N294" i="2"/>
  <c r="A294" i="2"/>
  <c r="N293" i="2"/>
  <c r="O292" i="2"/>
  <c r="N292" i="2"/>
  <c r="J292" i="2" s="1"/>
  <c r="M292" i="2"/>
  <c r="L292" i="2"/>
  <c r="N291" i="2"/>
  <c r="L291" i="2"/>
  <c r="J291" i="2"/>
  <c r="N290" i="2"/>
  <c r="A290" i="2" s="1"/>
  <c r="M290" i="2"/>
  <c r="O290" i="2" s="1"/>
  <c r="J290" i="2"/>
  <c r="I290" i="2"/>
  <c r="N289" i="2"/>
  <c r="M289" i="2"/>
  <c r="O289" i="2" s="1"/>
  <c r="L289" i="2"/>
  <c r="J289" i="2"/>
  <c r="I289" i="2"/>
  <c r="A289" i="2"/>
  <c r="N288" i="2"/>
  <c r="M288" i="2" s="1"/>
  <c r="O288" i="2" s="1"/>
  <c r="L288" i="2"/>
  <c r="J288" i="2"/>
  <c r="I288" i="2"/>
  <c r="A288" i="2"/>
  <c r="O287" i="2"/>
  <c r="N287" i="2"/>
  <c r="L287" i="2" s="1"/>
  <c r="M287" i="2"/>
  <c r="J287" i="2"/>
  <c r="I287" i="2"/>
  <c r="A287" i="2"/>
  <c r="N286" i="2"/>
  <c r="A286" i="2" s="1"/>
  <c r="I286" i="2"/>
  <c r="N285" i="2"/>
  <c r="M285" i="2" s="1"/>
  <c r="O285" i="2" s="1"/>
  <c r="N284" i="2"/>
  <c r="J284" i="2" s="1"/>
  <c r="M284" i="2"/>
  <c r="O284" i="2" s="1"/>
  <c r="L284" i="2"/>
  <c r="N283" i="2"/>
  <c r="L283" i="2"/>
  <c r="N282" i="2"/>
  <c r="M282" i="2" s="1"/>
  <c r="O282" i="2" s="1"/>
  <c r="J282" i="2"/>
  <c r="I282" i="2"/>
  <c r="N281" i="2"/>
  <c r="M281" i="2"/>
  <c r="O281" i="2" s="1"/>
  <c r="L281" i="2"/>
  <c r="J281" i="2"/>
  <c r="I281" i="2"/>
  <c r="A281" i="2"/>
  <c r="N280" i="2"/>
  <c r="M280" i="2" s="1"/>
  <c r="O280" i="2" s="1"/>
  <c r="L280" i="2"/>
  <c r="J280" i="2"/>
  <c r="I280" i="2"/>
  <c r="A280" i="2"/>
  <c r="N279" i="2"/>
  <c r="M279" i="2" s="1"/>
  <c r="O279" i="2" s="1"/>
  <c r="J279" i="2"/>
  <c r="I279" i="2"/>
  <c r="A279" i="2"/>
  <c r="N278" i="2"/>
  <c r="I278" i="2"/>
  <c r="N277" i="2"/>
  <c r="M277" i="2" s="1"/>
  <c r="O277" i="2" s="1"/>
  <c r="A277" i="2"/>
  <c r="O276" i="2"/>
  <c r="N276" i="2"/>
  <c r="J276" i="2" s="1"/>
  <c r="M276" i="2"/>
  <c r="L276" i="2"/>
  <c r="N275" i="2"/>
  <c r="L275" i="2" s="1"/>
  <c r="J275" i="2"/>
  <c r="N274" i="2"/>
  <c r="J274" i="2" s="1"/>
  <c r="N273" i="2"/>
  <c r="M273" i="2"/>
  <c r="O273" i="2" s="1"/>
  <c r="L273" i="2"/>
  <c r="J273" i="2"/>
  <c r="I273" i="2"/>
  <c r="A273" i="2"/>
  <c r="N272" i="2"/>
  <c r="M272" i="2" s="1"/>
  <c r="O272" i="2" s="1"/>
  <c r="L272" i="2"/>
  <c r="J272" i="2"/>
  <c r="I272" i="2"/>
  <c r="A272" i="2"/>
  <c r="N271" i="2"/>
  <c r="M271" i="2" s="1"/>
  <c r="O271" i="2" s="1"/>
  <c r="J271" i="2"/>
  <c r="I271" i="2"/>
  <c r="A271" i="2"/>
  <c r="N270" i="2"/>
  <c r="I270" i="2" s="1"/>
  <c r="A270" i="2"/>
  <c r="N269" i="2"/>
  <c r="A269" i="2"/>
  <c r="O268" i="2"/>
  <c r="N268" i="2"/>
  <c r="J268" i="2" s="1"/>
  <c r="M268" i="2"/>
  <c r="L268" i="2"/>
  <c r="N267" i="2"/>
  <c r="J267" i="2"/>
  <c r="N266" i="2"/>
  <c r="N265" i="2"/>
  <c r="M265" i="2"/>
  <c r="O265" i="2" s="1"/>
  <c r="L265" i="2"/>
  <c r="J265" i="2"/>
  <c r="I265" i="2"/>
  <c r="A265" i="2"/>
  <c r="N264" i="2"/>
  <c r="M264" i="2" s="1"/>
  <c r="O264" i="2" s="1"/>
  <c r="L264" i="2"/>
  <c r="J264" i="2"/>
  <c r="I264" i="2"/>
  <c r="A264" i="2"/>
  <c r="O263" i="2"/>
  <c r="N263" i="2"/>
  <c r="M263" i="2" s="1"/>
  <c r="J263" i="2"/>
  <c r="I263" i="2"/>
  <c r="A263" i="2"/>
  <c r="N262" i="2"/>
  <c r="A262" i="2" s="1"/>
  <c r="N261" i="2"/>
  <c r="N260" i="2"/>
  <c r="J260" i="2" s="1"/>
  <c r="M260" i="2"/>
  <c r="O260" i="2" s="1"/>
  <c r="L260" i="2"/>
  <c r="N259" i="2"/>
  <c r="N258" i="2"/>
  <c r="I258" i="2" s="1"/>
  <c r="M258" i="2"/>
  <c r="O258" i="2" s="1"/>
  <c r="J258" i="2"/>
  <c r="N257" i="2"/>
  <c r="M257" i="2"/>
  <c r="O257" i="2" s="1"/>
  <c r="L257" i="2"/>
  <c r="J257" i="2"/>
  <c r="I257" i="2"/>
  <c r="A257" i="2"/>
  <c r="N256" i="2"/>
  <c r="M256" i="2" s="1"/>
  <c r="O256" i="2" s="1"/>
  <c r="L256" i="2"/>
  <c r="J256" i="2"/>
  <c r="I256" i="2"/>
  <c r="A256" i="2"/>
  <c r="O255" i="2"/>
  <c r="N255" i="2"/>
  <c r="M255" i="2" s="1"/>
  <c r="J255" i="2"/>
  <c r="I255" i="2"/>
  <c r="A255" i="2"/>
  <c r="N254" i="2"/>
  <c r="N253" i="2"/>
  <c r="M253" i="2"/>
  <c r="O253" i="2" s="1"/>
  <c r="A253" i="2"/>
  <c r="N252" i="2"/>
  <c r="J252" i="2" s="1"/>
  <c r="M252" i="2"/>
  <c r="O252" i="2" s="1"/>
  <c r="L252" i="2"/>
  <c r="N251" i="2"/>
  <c r="L251" i="2"/>
  <c r="J251" i="2"/>
  <c r="N250" i="2"/>
  <c r="M250" i="2"/>
  <c r="O250" i="2" s="1"/>
  <c r="J250" i="2"/>
  <c r="N249" i="2"/>
  <c r="M249" i="2"/>
  <c r="O249" i="2" s="1"/>
  <c r="L249" i="2"/>
  <c r="J249" i="2"/>
  <c r="I249" i="2"/>
  <c r="A249" i="2"/>
  <c r="N248" i="2"/>
  <c r="M248" i="2" s="1"/>
  <c r="O248" i="2" s="1"/>
  <c r="L248" i="2"/>
  <c r="J248" i="2"/>
  <c r="I248" i="2"/>
  <c r="A248" i="2"/>
  <c r="O247" i="2"/>
  <c r="N247" i="2"/>
  <c r="M247" i="2" s="1"/>
  <c r="J247" i="2"/>
  <c r="I247" i="2"/>
  <c r="A247" i="2"/>
  <c r="N246" i="2"/>
  <c r="I246" i="2"/>
  <c r="A246" i="2"/>
  <c r="N245" i="2"/>
  <c r="M245" i="2"/>
  <c r="O245" i="2" s="1"/>
  <c r="A245" i="2"/>
  <c r="N244" i="2"/>
  <c r="J244" i="2" s="1"/>
  <c r="M244" i="2"/>
  <c r="O244" i="2" s="1"/>
  <c r="L244" i="2"/>
  <c r="N243" i="2"/>
  <c r="L243" i="2"/>
  <c r="J243" i="2"/>
  <c r="N242" i="2"/>
  <c r="M242" i="2"/>
  <c r="O242" i="2" s="1"/>
  <c r="J242" i="2"/>
  <c r="I242" i="2"/>
  <c r="N241" i="2"/>
  <c r="M241" i="2"/>
  <c r="O241" i="2" s="1"/>
  <c r="L241" i="2"/>
  <c r="J241" i="2"/>
  <c r="I241" i="2"/>
  <c r="A241" i="2"/>
  <c r="N240" i="2"/>
  <c r="M240" i="2" s="1"/>
  <c r="O240" i="2" s="1"/>
  <c r="L240" i="2"/>
  <c r="J240" i="2"/>
  <c r="I240" i="2"/>
  <c r="A240" i="2"/>
  <c r="O239" i="2"/>
  <c r="N239" i="2"/>
  <c r="M239" i="2" s="1"/>
  <c r="J239" i="2"/>
  <c r="I239" i="2"/>
  <c r="A239" i="2"/>
  <c r="N238" i="2"/>
  <c r="I238" i="2"/>
  <c r="A238" i="2"/>
  <c r="N237" i="2"/>
  <c r="M237" i="2"/>
  <c r="O237" i="2" s="1"/>
  <c r="A237" i="2"/>
  <c r="O236" i="2"/>
  <c r="N236" i="2"/>
  <c r="J236" i="2" s="1"/>
  <c r="M236" i="2"/>
  <c r="L236" i="2"/>
  <c r="N235" i="2"/>
  <c r="L235" i="2"/>
  <c r="J235" i="2"/>
  <c r="N234" i="2"/>
  <c r="J234" i="2" s="1"/>
  <c r="M234" i="2"/>
  <c r="O234" i="2" s="1"/>
  <c r="I234" i="2"/>
  <c r="N233" i="2"/>
  <c r="M233" i="2"/>
  <c r="O233" i="2" s="1"/>
  <c r="L233" i="2"/>
  <c r="J233" i="2"/>
  <c r="I233" i="2"/>
  <c r="A233" i="2"/>
  <c r="N232" i="2"/>
  <c r="M232" i="2"/>
  <c r="O232" i="2" s="1"/>
  <c r="L232" i="2"/>
  <c r="J232" i="2"/>
  <c r="I232" i="2"/>
  <c r="A232" i="2"/>
  <c r="O231" i="2"/>
  <c r="N231" i="2"/>
  <c r="M231" i="2"/>
  <c r="L231" i="2"/>
  <c r="J231" i="2"/>
  <c r="I231" i="2"/>
  <c r="A231" i="2"/>
  <c r="N230" i="2"/>
  <c r="A230" i="2" s="1"/>
  <c r="I230" i="2"/>
  <c r="N229" i="2"/>
  <c r="M229" i="2"/>
  <c r="O229" i="2" s="1"/>
  <c r="N228" i="2"/>
  <c r="J228" i="2" s="1"/>
  <c r="M228" i="2"/>
  <c r="O228" i="2" s="1"/>
  <c r="L228" i="2"/>
  <c r="N227" i="2"/>
  <c r="N226" i="2"/>
  <c r="M226" i="2" s="1"/>
  <c r="O226" i="2" s="1"/>
  <c r="I226" i="2"/>
  <c r="N225" i="2"/>
  <c r="M225" i="2"/>
  <c r="O225" i="2" s="1"/>
  <c r="L225" i="2"/>
  <c r="J225" i="2"/>
  <c r="I225" i="2"/>
  <c r="A225" i="2"/>
  <c r="N224" i="2"/>
  <c r="M224" i="2"/>
  <c r="O224" i="2" s="1"/>
  <c r="L224" i="2"/>
  <c r="J224" i="2"/>
  <c r="I224" i="2"/>
  <c r="A224" i="2"/>
  <c r="O223" i="2"/>
  <c r="N223" i="2"/>
  <c r="M223" i="2"/>
  <c r="L223" i="2"/>
  <c r="J223" i="2"/>
  <c r="I223" i="2"/>
  <c r="A223" i="2"/>
  <c r="N222" i="2"/>
  <c r="I222" i="2" s="1"/>
  <c r="O221" i="2"/>
  <c r="N221" i="2"/>
  <c r="M221" i="2"/>
  <c r="A221" i="2"/>
  <c r="N220" i="2"/>
  <c r="M220" i="2" s="1"/>
  <c r="O220" i="2" s="1"/>
  <c r="O219" i="2"/>
  <c r="N219" i="2"/>
  <c r="M219" i="2"/>
  <c r="L219" i="2"/>
  <c r="J219" i="2"/>
  <c r="N218" i="2"/>
  <c r="A218" i="2" s="1"/>
  <c r="J218" i="2"/>
  <c r="N217" i="2"/>
  <c r="M217" i="2"/>
  <c r="O217" i="2" s="1"/>
  <c r="L217" i="2"/>
  <c r="J217" i="2"/>
  <c r="I217" i="2"/>
  <c r="A217" i="2"/>
  <c r="N216" i="2"/>
  <c r="M216" i="2"/>
  <c r="O216" i="2" s="1"/>
  <c r="L216" i="2"/>
  <c r="J216" i="2"/>
  <c r="I216" i="2"/>
  <c r="A216" i="2"/>
  <c r="O215" i="2"/>
  <c r="N215" i="2"/>
  <c r="M215" i="2"/>
  <c r="L215" i="2"/>
  <c r="J215" i="2"/>
  <c r="I215" i="2"/>
  <c r="A215" i="2"/>
  <c r="N214" i="2"/>
  <c r="I214" i="2"/>
  <c r="A214" i="2"/>
  <c r="N213" i="2"/>
  <c r="M213" i="2"/>
  <c r="O213" i="2" s="1"/>
  <c r="O212" i="2"/>
  <c r="N212" i="2"/>
  <c r="M212" i="2"/>
  <c r="L212" i="2"/>
  <c r="N211" i="2"/>
  <c r="N210" i="2"/>
  <c r="A210" i="2" s="1"/>
  <c r="M210" i="2"/>
  <c r="O210" i="2" s="1"/>
  <c r="L210" i="2"/>
  <c r="I210" i="2"/>
  <c r="N209" i="2"/>
  <c r="M209" i="2"/>
  <c r="O209" i="2" s="1"/>
  <c r="L209" i="2"/>
  <c r="J209" i="2"/>
  <c r="I209" i="2"/>
  <c r="A209" i="2"/>
  <c r="N208" i="2"/>
  <c r="M208" i="2"/>
  <c r="O208" i="2" s="1"/>
  <c r="L208" i="2"/>
  <c r="J208" i="2"/>
  <c r="I208" i="2"/>
  <c r="A208" i="2"/>
  <c r="O207" i="2"/>
  <c r="N207" i="2"/>
  <c r="M207" i="2"/>
  <c r="L207" i="2"/>
  <c r="J207" i="2"/>
  <c r="I207" i="2"/>
  <c r="A207" i="2"/>
  <c r="N206" i="2"/>
  <c r="A206" i="2" s="1"/>
  <c r="I206" i="2"/>
  <c r="N205" i="2"/>
  <c r="N204" i="2"/>
  <c r="L204" i="2" s="1"/>
  <c r="M204" i="2"/>
  <c r="O204" i="2" s="1"/>
  <c r="N203" i="2"/>
  <c r="N202" i="2"/>
  <c r="A202" i="2" s="1"/>
  <c r="M202" i="2"/>
  <c r="O202" i="2" s="1"/>
  <c r="J202" i="2"/>
  <c r="I202" i="2"/>
  <c r="N201" i="2"/>
  <c r="M201" i="2"/>
  <c r="O201" i="2" s="1"/>
  <c r="L201" i="2"/>
  <c r="J201" i="2"/>
  <c r="I201" i="2"/>
  <c r="A201" i="2"/>
  <c r="N200" i="2"/>
  <c r="M200" i="2"/>
  <c r="O200" i="2" s="1"/>
  <c r="L200" i="2"/>
  <c r="J200" i="2"/>
  <c r="I200" i="2"/>
  <c r="A200" i="2"/>
  <c r="O199" i="2"/>
  <c r="N199" i="2"/>
  <c r="M199" i="2"/>
  <c r="L199" i="2"/>
  <c r="J199" i="2"/>
  <c r="I199" i="2"/>
  <c r="A199" i="2"/>
  <c r="N198" i="2"/>
  <c r="O197" i="2"/>
  <c r="N197" i="2"/>
  <c r="M197" i="2"/>
  <c r="A197" i="2"/>
  <c r="N196" i="2"/>
  <c r="L196" i="2" s="1"/>
  <c r="O195" i="2"/>
  <c r="N195" i="2"/>
  <c r="M195" i="2"/>
  <c r="L195" i="2"/>
  <c r="J195" i="2"/>
  <c r="N194" i="2"/>
  <c r="N193" i="2"/>
  <c r="M193" i="2"/>
  <c r="O193" i="2" s="1"/>
  <c r="L193" i="2"/>
  <c r="J193" i="2"/>
  <c r="I193" i="2"/>
  <c r="A193" i="2"/>
  <c r="N192" i="2"/>
  <c r="M192" i="2"/>
  <c r="O192" i="2" s="1"/>
  <c r="L192" i="2"/>
  <c r="J192" i="2"/>
  <c r="I192" i="2"/>
  <c r="A192" i="2"/>
  <c r="N191" i="2"/>
  <c r="M191" i="2"/>
  <c r="O191" i="2" s="1"/>
  <c r="N190" i="2"/>
  <c r="M190" i="2"/>
  <c r="O190" i="2" s="1"/>
  <c r="L190" i="2"/>
  <c r="J190" i="2"/>
  <c r="I190" i="2"/>
  <c r="A190" i="2"/>
  <c r="N189" i="2"/>
  <c r="L189" i="2" s="1"/>
  <c r="N188" i="2"/>
  <c r="A188" i="2" s="1"/>
  <c r="M188" i="2"/>
  <c r="O188" i="2" s="1"/>
  <c r="J188" i="2"/>
  <c r="I188" i="2"/>
  <c r="O187" i="2"/>
  <c r="N187" i="2"/>
  <c r="J187" i="2" s="1"/>
  <c r="M187" i="2"/>
  <c r="L187" i="2"/>
  <c r="I187" i="2"/>
  <c r="A187" i="2"/>
  <c r="N186" i="2"/>
  <c r="M186" i="2" s="1"/>
  <c r="O186" i="2" s="1"/>
  <c r="J186" i="2"/>
  <c r="A186" i="2"/>
  <c r="O185" i="2"/>
  <c r="N185" i="2"/>
  <c r="A185" i="2" s="1"/>
  <c r="M185" i="2"/>
  <c r="L185" i="2"/>
  <c r="J185" i="2"/>
  <c r="I185" i="2"/>
  <c r="N184" i="2"/>
  <c r="A184" i="2"/>
  <c r="N183" i="2"/>
  <c r="M183" i="2" s="1"/>
  <c r="O183" i="2" s="1"/>
  <c r="O182" i="2"/>
  <c r="N182" i="2"/>
  <c r="J182" i="2" s="1"/>
  <c r="M182" i="2"/>
  <c r="L182" i="2"/>
  <c r="I182" i="2"/>
  <c r="A182" i="2"/>
  <c r="N181" i="2"/>
  <c r="L181" i="2" s="1"/>
  <c r="J181" i="2"/>
  <c r="N180" i="2"/>
  <c r="A180" i="2" s="1"/>
  <c r="M180" i="2"/>
  <c r="O180" i="2" s="1"/>
  <c r="J180" i="2"/>
  <c r="I180" i="2"/>
  <c r="O179" i="2"/>
  <c r="N179" i="2"/>
  <c r="J179" i="2" s="1"/>
  <c r="M179" i="2"/>
  <c r="L179" i="2"/>
  <c r="I179" i="2"/>
  <c r="A179" i="2"/>
  <c r="N178" i="2"/>
  <c r="M178" i="2" s="1"/>
  <c r="O178" i="2" s="1"/>
  <c r="J178" i="2"/>
  <c r="A178" i="2"/>
  <c r="O177" i="2"/>
  <c r="N177" i="2"/>
  <c r="A177" i="2" s="1"/>
  <c r="M177" i="2"/>
  <c r="L177" i="2"/>
  <c r="J177" i="2"/>
  <c r="I177" i="2"/>
  <c r="N176" i="2"/>
  <c r="N175" i="2"/>
  <c r="M175" i="2"/>
  <c r="O175" i="2" s="1"/>
  <c r="N174" i="2"/>
  <c r="J174" i="2" s="1"/>
  <c r="M174" i="2"/>
  <c r="O174" i="2" s="1"/>
  <c r="L174" i="2"/>
  <c r="I174" i="2"/>
  <c r="A174" i="2"/>
  <c r="N173" i="2"/>
  <c r="L173" i="2"/>
  <c r="N172" i="2"/>
  <c r="A172" i="2" s="1"/>
  <c r="M172" i="2"/>
  <c r="O172" i="2" s="1"/>
  <c r="J172" i="2"/>
  <c r="I172" i="2"/>
  <c r="O171" i="2"/>
  <c r="N171" i="2"/>
  <c r="J171" i="2" s="1"/>
  <c r="M171" i="2"/>
  <c r="L171" i="2"/>
  <c r="I171" i="2"/>
  <c r="A171" i="2"/>
  <c r="N170" i="2"/>
  <c r="M170" i="2" s="1"/>
  <c r="O170" i="2" s="1"/>
  <c r="J170" i="2"/>
  <c r="A170" i="2"/>
  <c r="O169" i="2"/>
  <c r="N169" i="2"/>
  <c r="A169" i="2" s="1"/>
  <c r="M169" i="2"/>
  <c r="L169" i="2"/>
  <c r="J169" i="2"/>
  <c r="I169" i="2"/>
  <c r="N168" i="2"/>
  <c r="A168" i="2" s="1"/>
  <c r="N167" i="2"/>
  <c r="N166" i="2"/>
  <c r="J166" i="2" s="1"/>
  <c r="M166" i="2"/>
  <c r="O166" i="2" s="1"/>
  <c r="L166" i="2"/>
  <c r="I166" i="2"/>
  <c r="A166" i="2"/>
  <c r="N165" i="2"/>
  <c r="L165" i="2" s="1"/>
  <c r="A165" i="2"/>
  <c r="N164" i="2"/>
  <c r="A164" i="2" s="1"/>
  <c r="M164" i="2"/>
  <c r="O164" i="2" s="1"/>
  <c r="J164" i="2"/>
  <c r="I164" i="2"/>
  <c r="O163" i="2"/>
  <c r="N163" i="2"/>
  <c r="J163" i="2" s="1"/>
  <c r="M163" i="2"/>
  <c r="L163" i="2"/>
  <c r="I163" i="2"/>
  <c r="A163" i="2"/>
  <c r="N162" i="2"/>
  <c r="J162" i="2"/>
  <c r="N161" i="2"/>
  <c r="A161" i="2" s="1"/>
  <c r="M161" i="2"/>
  <c r="O161" i="2" s="1"/>
  <c r="L161" i="2"/>
  <c r="J161" i="2"/>
  <c r="I161" i="2"/>
  <c r="N160" i="2"/>
  <c r="L160" i="2" s="1"/>
  <c r="N159" i="2"/>
  <c r="J159" i="2" s="1"/>
  <c r="M159" i="2"/>
  <c r="O159" i="2" s="1"/>
  <c r="O158" i="2"/>
  <c r="N158" i="2"/>
  <c r="J158" i="2" s="1"/>
  <c r="M158" i="2"/>
  <c r="L158" i="2"/>
  <c r="I158" i="2"/>
  <c r="A158" i="2"/>
  <c r="N157" i="2"/>
  <c r="L157" i="2" s="1"/>
  <c r="N156" i="2"/>
  <c r="A156" i="2" s="1"/>
  <c r="M156" i="2"/>
  <c r="O156" i="2" s="1"/>
  <c r="J156" i="2"/>
  <c r="I156" i="2"/>
  <c r="O155" i="2"/>
  <c r="N155" i="2"/>
  <c r="J155" i="2" s="1"/>
  <c r="M155" i="2"/>
  <c r="L155" i="2"/>
  <c r="I155" i="2"/>
  <c r="A155" i="2"/>
  <c r="N154" i="2"/>
  <c r="J154" i="2"/>
  <c r="A154" i="2"/>
  <c r="N153" i="2"/>
  <c r="M153" i="2"/>
  <c r="O153" i="2" s="1"/>
  <c r="L153" i="2"/>
  <c r="J153" i="2"/>
  <c r="I153" i="2"/>
  <c r="A153" i="2"/>
  <c r="N152" i="2"/>
  <c r="L152" i="2" s="1"/>
  <c r="A152" i="2"/>
  <c r="N151" i="2"/>
  <c r="M151" i="2" s="1"/>
  <c r="O151" i="2" s="1"/>
  <c r="O150" i="2"/>
  <c r="N150" i="2"/>
  <c r="J150" i="2" s="1"/>
  <c r="M150" i="2"/>
  <c r="L150" i="2"/>
  <c r="I150" i="2"/>
  <c r="A150" i="2"/>
  <c r="N149" i="2"/>
  <c r="L149" i="2"/>
  <c r="J149" i="2"/>
  <c r="A149" i="2"/>
  <c r="N148" i="2"/>
  <c r="A148" i="2" s="1"/>
  <c r="M148" i="2"/>
  <c r="O148" i="2" s="1"/>
  <c r="J148" i="2"/>
  <c r="I148" i="2"/>
  <c r="O147" i="2"/>
  <c r="N147" i="2"/>
  <c r="J147" i="2" s="1"/>
  <c r="M147" i="2"/>
  <c r="L147" i="2"/>
  <c r="I147" i="2"/>
  <c r="A147" i="2"/>
  <c r="N146" i="2"/>
  <c r="N145" i="2"/>
  <c r="A145" i="2" s="1"/>
  <c r="M145" i="2"/>
  <c r="O145" i="2" s="1"/>
  <c r="L145" i="2"/>
  <c r="J145" i="2"/>
  <c r="I145" i="2"/>
  <c r="N144" i="2"/>
  <c r="L144" i="2"/>
  <c r="A144" i="2"/>
  <c r="N143" i="2"/>
  <c r="O142" i="2"/>
  <c r="N142" i="2"/>
  <c r="J142" i="2" s="1"/>
  <c r="M142" i="2"/>
  <c r="L142" i="2"/>
  <c r="I142" i="2"/>
  <c r="A142" i="2"/>
  <c r="N141" i="2"/>
  <c r="L141" i="2" s="1"/>
  <c r="J141" i="2"/>
  <c r="N140" i="2"/>
  <c r="A140" i="2" s="1"/>
  <c r="M140" i="2"/>
  <c r="O140" i="2" s="1"/>
  <c r="J140" i="2"/>
  <c r="I140" i="2"/>
  <c r="O139" i="2"/>
  <c r="N139" i="2"/>
  <c r="J139" i="2" s="1"/>
  <c r="M139" i="2"/>
  <c r="L139" i="2"/>
  <c r="I139" i="2"/>
  <c r="A139" i="2"/>
  <c r="N138" i="2"/>
  <c r="A138" i="2" s="1"/>
  <c r="J138" i="2"/>
  <c r="O137" i="2"/>
  <c r="N137" i="2"/>
  <c r="A137" i="2" s="1"/>
  <c r="M137" i="2"/>
  <c r="L137" i="2"/>
  <c r="J137" i="2"/>
  <c r="I137" i="2"/>
  <c r="N136" i="2"/>
  <c r="L136" i="2" s="1"/>
  <c r="A136" i="2"/>
  <c r="N135" i="2"/>
  <c r="M135" i="2" s="1"/>
  <c r="O135" i="2" s="1"/>
  <c r="O134" i="2"/>
  <c r="N134" i="2"/>
  <c r="J134" i="2" s="1"/>
  <c r="M134" i="2"/>
  <c r="L134" i="2"/>
  <c r="I134" i="2"/>
  <c r="A134" i="2"/>
  <c r="N133" i="2"/>
  <c r="L133" i="2"/>
  <c r="J133" i="2"/>
  <c r="A133" i="2"/>
  <c r="N132" i="2"/>
  <c r="A132" i="2" s="1"/>
  <c r="M132" i="2"/>
  <c r="O132" i="2" s="1"/>
  <c r="J132" i="2"/>
  <c r="I132" i="2"/>
  <c r="O131" i="2"/>
  <c r="N131" i="2"/>
  <c r="J131" i="2" s="1"/>
  <c r="M131" i="2"/>
  <c r="L131" i="2"/>
  <c r="I131" i="2"/>
  <c r="A131" i="2"/>
  <c r="N130" i="2"/>
  <c r="N129" i="2"/>
  <c r="A129" i="2" s="1"/>
  <c r="M129" i="2"/>
  <c r="O129" i="2" s="1"/>
  <c r="L129" i="2"/>
  <c r="J129" i="2"/>
  <c r="I129" i="2"/>
  <c r="N128" i="2"/>
  <c r="L128" i="2"/>
  <c r="A128" i="2"/>
  <c r="N127" i="2"/>
  <c r="M127" i="2" s="1"/>
  <c r="O127" i="2" s="1"/>
  <c r="O126" i="2"/>
  <c r="N126" i="2"/>
  <c r="J126" i="2" s="1"/>
  <c r="M126" i="2"/>
  <c r="L126" i="2"/>
  <c r="I126" i="2"/>
  <c r="A126" i="2"/>
  <c r="N125" i="2"/>
  <c r="L125" i="2" s="1"/>
  <c r="J125" i="2"/>
  <c r="N124" i="2"/>
  <c r="A124" i="2" s="1"/>
  <c r="M124" i="2"/>
  <c r="O124" i="2" s="1"/>
  <c r="J124" i="2"/>
  <c r="I124" i="2"/>
  <c r="O123" i="2"/>
  <c r="N123" i="2"/>
  <c r="J123" i="2" s="1"/>
  <c r="M123" i="2"/>
  <c r="L123" i="2"/>
  <c r="I123" i="2"/>
  <c r="A123" i="2"/>
  <c r="N122" i="2"/>
  <c r="A122" i="2" s="1"/>
  <c r="J122" i="2"/>
  <c r="O121" i="2"/>
  <c r="N121" i="2"/>
  <c r="M121" i="2"/>
  <c r="L121" i="2"/>
  <c r="J121" i="2"/>
  <c r="I121" i="2"/>
  <c r="A121" i="2"/>
  <c r="N120" i="2"/>
  <c r="L120" i="2"/>
  <c r="N119" i="2"/>
  <c r="M119" i="2"/>
  <c r="O119" i="2" s="1"/>
  <c r="J119" i="2"/>
  <c r="O118" i="2"/>
  <c r="N118" i="2"/>
  <c r="J118" i="2" s="1"/>
  <c r="M118" i="2"/>
  <c r="L118" i="2"/>
  <c r="I118" i="2"/>
  <c r="A118" i="2"/>
  <c r="N117" i="2"/>
  <c r="L117" i="2"/>
  <c r="J117" i="2"/>
  <c r="A117" i="2"/>
  <c r="N116" i="2"/>
  <c r="A116" i="2" s="1"/>
  <c r="M116" i="2"/>
  <c r="O116" i="2" s="1"/>
  <c r="J116" i="2"/>
  <c r="I116" i="2"/>
  <c r="O115" i="2"/>
  <c r="N115" i="2"/>
  <c r="J115" i="2" s="1"/>
  <c r="M115" i="2"/>
  <c r="L115" i="2"/>
  <c r="I115" i="2"/>
  <c r="A115" i="2"/>
  <c r="N114" i="2"/>
  <c r="J114" i="2" s="1"/>
  <c r="O113" i="2"/>
  <c r="N113" i="2"/>
  <c r="A113" i="2" s="1"/>
  <c r="M113" i="2"/>
  <c r="L113" i="2"/>
  <c r="J113" i="2"/>
  <c r="I113" i="2"/>
  <c r="N112" i="2"/>
  <c r="L112" i="2"/>
  <c r="A112" i="2"/>
  <c r="N111" i="2"/>
  <c r="M111" i="2" s="1"/>
  <c r="O111" i="2" s="1"/>
  <c r="J111" i="2"/>
  <c r="O110" i="2"/>
  <c r="N110" i="2"/>
  <c r="J110" i="2" s="1"/>
  <c r="M110" i="2"/>
  <c r="L110" i="2"/>
  <c r="I110" i="2"/>
  <c r="A110" i="2"/>
  <c r="N109" i="2"/>
  <c r="L109" i="2"/>
  <c r="N108" i="2"/>
  <c r="A108" i="2" s="1"/>
  <c r="M108" i="2"/>
  <c r="O108" i="2" s="1"/>
  <c r="J108" i="2"/>
  <c r="I108" i="2"/>
  <c r="O107" i="2"/>
  <c r="N107" i="2"/>
  <c r="J107" i="2" s="1"/>
  <c r="M107" i="2"/>
  <c r="L107" i="2"/>
  <c r="I107" i="2"/>
  <c r="A107" i="2"/>
  <c r="N106" i="2"/>
  <c r="J106" i="2" s="1"/>
  <c r="O105" i="2"/>
  <c r="N105" i="2"/>
  <c r="A105" i="2" s="1"/>
  <c r="M105" i="2"/>
  <c r="L105" i="2"/>
  <c r="J105" i="2"/>
  <c r="I105" i="2"/>
  <c r="N104" i="2"/>
  <c r="L104" i="2"/>
  <c r="N103" i="2"/>
  <c r="M103" i="2"/>
  <c r="O103" i="2" s="1"/>
  <c r="J103" i="2"/>
  <c r="O102" i="2"/>
  <c r="N102" i="2"/>
  <c r="J102" i="2" s="1"/>
  <c r="M102" i="2"/>
  <c r="L102" i="2"/>
  <c r="I102" i="2"/>
  <c r="A102" i="2"/>
  <c r="N101" i="2"/>
  <c r="L101" i="2"/>
  <c r="J101" i="2"/>
  <c r="A101" i="2"/>
  <c r="N100" i="2"/>
  <c r="A100" i="2" s="1"/>
  <c r="M100" i="2"/>
  <c r="O100" i="2" s="1"/>
  <c r="J100" i="2"/>
  <c r="I100" i="2"/>
  <c r="O99" i="2"/>
  <c r="N99" i="2"/>
  <c r="J99" i="2" s="1"/>
  <c r="M99" i="2"/>
  <c r="L99" i="2"/>
  <c r="I99" i="2"/>
  <c r="A99" i="2"/>
  <c r="N98" i="2"/>
  <c r="J98" i="2" s="1"/>
  <c r="O97" i="2"/>
  <c r="N97" i="2"/>
  <c r="A97" i="2" s="1"/>
  <c r="M97" i="2"/>
  <c r="L97" i="2"/>
  <c r="J97" i="2"/>
  <c r="I97" i="2"/>
  <c r="N96" i="2"/>
  <c r="L96" i="2"/>
  <c r="A96" i="2"/>
  <c r="N95" i="2"/>
  <c r="M95" i="2" s="1"/>
  <c r="O95" i="2" s="1"/>
  <c r="J95" i="2"/>
  <c r="O94" i="2"/>
  <c r="N94" i="2"/>
  <c r="J94" i="2" s="1"/>
  <c r="M94" i="2"/>
  <c r="L94" i="2"/>
  <c r="I94" i="2"/>
  <c r="A94" i="2"/>
  <c r="N93" i="2"/>
  <c r="L93" i="2"/>
  <c r="N92" i="2"/>
  <c r="A92" i="2" s="1"/>
  <c r="M92" i="2"/>
  <c r="O92" i="2" s="1"/>
  <c r="J92" i="2"/>
  <c r="I92" i="2"/>
  <c r="O91" i="2"/>
  <c r="N91" i="2"/>
  <c r="J91" i="2" s="1"/>
  <c r="M91" i="2"/>
  <c r="L91" i="2"/>
  <c r="I91" i="2"/>
  <c r="A91" i="2"/>
  <c r="N90" i="2"/>
  <c r="O89" i="2"/>
  <c r="N89" i="2"/>
  <c r="A89" i="2" s="1"/>
  <c r="M89" i="2"/>
  <c r="L89" i="2"/>
  <c r="J89" i="2"/>
  <c r="I89" i="2"/>
  <c r="N88" i="2"/>
  <c r="L88" i="2"/>
  <c r="N87" i="2"/>
  <c r="M87" i="2"/>
  <c r="O87" i="2" s="1"/>
  <c r="J87" i="2"/>
  <c r="O86" i="2"/>
  <c r="N86" i="2"/>
  <c r="J86" i="2" s="1"/>
  <c r="M86" i="2"/>
  <c r="L86" i="2"/>
  <c r="I86" i="2"/>
  <c r="A86" i="2"/>
  <c r="N85" i="2"/>
  <c r="L85" i="2"/>
  <c r="J85" i="2"/>
  <c r="A85" i="2"/>
  <c r="N84" i="2"/>
  <c r="A84" i="2" s="1"/>
  <c r="M84" i="2"/>
  <c r="O84" i="2" s="1"/>
  <c r="J84" i="2"/>
  <c r="I84" i="2"/>
  <c r="O83" i="2"/>
  <c r="N83" i="2"/>
  <c r="J83" i="2" s="1"/>
  <c r="M83" i="2"/>
  <c r="L83" i="2"/>
  <c r="I83" i="2"/>
  <c r="A83" i="2"/>
  <c r="N82" i="2"/>
  <c r="J82" i="2" s="1"/>
  <c r="A82" i="2"/>
  <c r="O81" i="2"/>
  <c r="N81" i="2"/>
  <c r="M81" i="2"/>
  <c r="L81" i="2"/>
  <c r="J81" i="2"/>
  <c r="I81" i="2"/>
  <c r="A81" i="2"/>
  <c r="N80" i="2"/>
  <c r="A80" i="2" s="1"/>
  <c r="L80" i="2"/>
  <c r="N79" i="2"/>
  <c r="M79" i="2"/>
  <c r="O79" i="2" s="1"/>
  <c r="N78" i="2"/>
  <c r="J78" i="2" s="1"/>
  <c r="M78" i="2"/>
  <c r="O78" i="2" s="1"/>
  <c r="L78" i="2"/>
  <c r="I78" i="2"/>
  <c r="A78" i="2"/>
  <c r="N77" i="2"/>
  <c r="N76" i="2"/>
  <c r="A76" i="2" s="1"/>
  <c r="M76" i="2"/>
  <c r="O76" i="2" s="1"/>
  <c r="J76" i="2"/>
  <c r="I76" i="2"/>
  <c r="O75" i="2"/>
  <c r="N75" i="2"/>
  <c r="J75" i="2" s="1"/>
  <c r="M75" i="2"/>
  <c r="L75" i="2"/>
  <c r="I75" i="2"/>
  <c r="A75" i="2"/>
  <c r="N74" i="2"/>
  <c r="J74" i="2" s="1"/>
  <c r="A74" i="2"/>
  <c r="N73" i="2"/>
  <c r="A73" i="2" s="1"/>
  <c r="M73" i="2"/>
  <c r="O73" i="2" s="1"/>
  <c r="L73" i="2"/>
  <c r="J73" i="2"/>
  <c r="I73" i="2"/>
  <c r="N72" i="2"/>
  <c r="N71" i="2"/>
  <c r="M71" i="2"/>
  <c r="O71" i="2" s="1"/>
  <c r="J71" i="2"/>
  <c r="N70" i="2"/>
  <c r="J70" i="2" s="1"/>
  <c r="M70" i="2"/>
  <c r="O70" i="2" s="1"/>
  <c r="L70" i="2"/>
  <c r="I70" i="2"/>
  <c r="A70" i="2"/>
  <c r="N69" i="2"/>
  <c r="J69" i="2" s="1"/>
  <c r="L69" i="2"/>
  <c r="N68" i="2"/>
  <c r="A68" i="2" s="1"/>
  <c r="M68" i="2"/>
  <c r="O68" i="2" s="1"/>
  <c r="J68" i="2"/>
  <c r="I68" i="2"/>
  <c r="O67" i="2"/>
  <c r="N67" i="2"/>
  <c r="J67" i="2" s="1"/>
  <c r="M67" i="2"/>
  <c r="L67" i="2"/>
  <c r="I67" i="2"/>
  <c r="A67" i="2"/>
  <c r="N66" i="2"/>
  <c r="J66" i="2"/>
  <c r="A66" i="2"/>
  <c r="O65" i="2"/>
  <c r="N65" i="2"/>
  <c r="A65" i="2" s="1"/>
  <c r="M65" i="2"/>
  <c r="L65" i="2"/>
  <c r="J65" i="2"/>
  <c r="I65" i="2"/>
  <c r="N64" i="2"/>
  <c r="A64" i="2" s="1"/>
  <c r="L64" i="2"/>
  <c r="N63" i="2"/>
  <c r="M63" i="2"/>
  <c r="O63" i="2" s="1"/>
  <c r="N62" i="2"/>
  <c r="J62" i="2" s="1"/>
  <c r="M62" i="2"/>
  <c r="O62" i="2" s="1"/>
  <c r="L62" i="2"/>
  <c r="I62" i="2"/>
  <c r="A62" i="2"/>
  <c r="N61" i="2"/>
  <c r="N60" i="2"/>
  <c r="J60" i="2" s="1"/>
  <c r="M60" i="2"/>
  <c r="O60" i="2" s="1"/>
  <c r="O59" i="2"/>
  <c r="N59" i="2"/>
  <c r="J59" i="2" s="1"/>
  <c r="M59" i="2"/>
  <c r="L59" i="2"/>
  <c r="I59" i="2"/>
  <c r="A59" i="2"/>
  <c r="N58" i="2"/>
  <c r="L58" i="2" s="1"/>
  <c r="J58" i="2"/>
  <c r="N57" i="2"/>
  <c r="A57" i="2" s="1"/>
  <c r="M57" i="2"/>
  <c r="O57" i="2" s="1"/>
  <c r="L57" i="2"/>
  <c r="J57" i="2"/>
  <c r="I57" i="2"/>
  <c r="N56" i="2"/>
  <c r="L56" i="2" s="1"/>
  <c r="A56" i="2"/>
  <c r="N55" i="2"/>
  <c r="M55" i="2" s="1"/>
  <c r="O55" i="2" s="1"/>
  <c r="N54" i="2"/>
  <c r="M54" i="2"/>
  <c r="O54" i="2" s="1"/>
  <c r="L54" i="2"/>
  <c r="J54" i="2"/>
  <c r="I54" i="2"/>
  <c r="A54" i="2"/>
  <c r="N53" i="2"/>
  <c r="L53" i="2" s="1"/>
  <c r="A53" i="2"/>
  <c r="N52" i="2"/>
  <c r="O51" i="2"/>
  <c r="N51" i="2"/>
  <c r="J51" i="2" s="1"/>
  <c r="M51" i="2"/>
  <c r="L51" i="2"/>
  <c r="I51" i="2"/>
  <c r="A51" i="2"/>
  <c r="N50" i="2"/>
  <c r="L50" i="2"/>
  <c r="N49" i="2"/>
  <c r="A49" i="2" s="1"/>
  <c r="M49" i="2"/>
  <c r="O49" i="2" s="1"/>
  <c r="L49" i="2"/>
  <c r="J49" i="2"/>
  <c r="I49" i="2"/>
  <c r="N48" i="2"/>
  <c r="L48" i="2"/>
  <c r="I48" i="2"/>
  <c r="A48" i="2"/>
  <c r="N47" i="2"/>
  <c r="M47" i="2" s="1"/>
  <c r="O47" i="2" s="1"/>
  <c r="J47" i="2"/>
  <c r="N46" i="2"/>
  <c r="J46" i="2" s="1"/>
  <c r="M46" i="2"/>
  <c r="O46" i="2" s="1"/>
  <c r="L46" i="2"/>
  <c r="I46" i="2"/>
  <c r="A46" i="2"/>
  <c r="N45" i="2"/>
  <c r="L45" i="2" s="1"/>
  <c r="A45" i="2"/>
  <c r="N44" i="2"/>
  <c r="M44" i="2" s="1"/>
  <c r="O44" i="2" s="1"/>
  <c r="O43" i="2"/>
  <c r="N43" i="2"/>
  <c r="J43" i="2" s="1"/>
  <c r="M43" i="2"/>
  <c r="L43" i="2"/>
  <c r="I43" i="2"/>
  <c r="A43" i="2"/>
  <c r="N42" i="2"/>
  <c r="I42" i="2" s="1"/>
  <c r="M42" i="2"/>
  <c r="O42" i="2" s="1"/>
  <c r="O41" i="2"/>
  <c r="N41" i="2"/>
  <c r="A41" i="2" s="1"/>
  <c r="M41" i="2"/>
  <c r="L41" i="2"/>
  <c r="J41" i="2"/>
  <c r="I41" i="2"/>
  <c r="N40" i="2"/>
  <c r="M40" i="2" s="1"/>
  <c r="O40" i="2" s="1"/>
  <c r="L40" i="2"/>
  <c r="J40" i="2"/>
  <c r="I40" i="2"/>
  <c r="A40" i="2"/>
  <c r="N39" i="2"/>
  <c r="L39" i="2" s="1"/>
  <c r="O38" i="2"/>
  <c r="N38" i="2"/>
  <c r="J38" i="2" s="1"/>
  <c r="M38" i="2"/>
  <c r="L38" i="2"/>
  <c r="I38" i="2"/>
  <c r="A38" i="2"/>
  <c r="N37" i="2"/>
  <c r="N36" i="2"/>
  <c r="M36" i="2" s="1"/>
  <c r="I36" i="2"/>
  <c r="N35" i="2"/>
  <c r="M35" i="2" s="1"/>
  <c r="N34" i="2"/>
  <c r="I34" i="2" s="1"/>
  <c r="M34" i="2"/>
  <c r="L34" i="2"/>
  <c r="J34" i="2"/>
  <c r="I33" i="2"/>
  <c r="G33" i="2"/>
  <c r="F33" i="2"/>
  <c r="N33" i="2" s="1"/>
  <c r="M33" i="2" s="1"/>
  <c r="N32" i="2"/>
  <c r="I32" i="2" s="1"/>
  <c r="F32" i="2"/>
  <c r="F31" i="2"/>
  <c r="N31" i="2" s="1"/>
  <c r="N30" i="2"/>
  <c r="I30" i="2" s="1"/>
  <c r="H30" i="2"/>
  <c r="N29" i="2"/>
  <c r="I29" i="2" s="1"/>
  <c r="F29" i="2"/>
  <c r="G28" i="2"/>
  <c r="N28" i="2" s="1"/>
  <c r="N27" i="2"/>
  <c r="I27" i="2" s="1"/>
  <c r="M27" i="2"/>
  <c r="L27" i="2"/>
  <c r="J27" i="2"/>
  <c r="G27" i="2"/>
  <c r="F26" i="2"/>
  <c r="N26" i="2" s="1"/>
  <c r="F25" i="2"/>
  <c r="N25" i="2" s="1"/>
  <c r="N24" i="2"/>
  <c r="I24" i="2" s="1"/>
  <c r="G24" i="2"/>
  <c r="F23" i="2"/>
  <c r="N23" i="2" s="1"/>
  <c r="N22" i="2"/>
  <c r="I22" i="2" s="1"/>
  <c r="N21" i="2"/>
  <c r="L21" i="2" s="1"/>
  <c r="M21" i="2"/>
  <c r="I21" i="2"/>
  <c r="N20" i="2"/>
  <c r="M20" i="2"/>
  <c r="L20" i="2"/>
  <c r="J20" i="2"/>
  <c r="I20" i="2"/>
  <c r="F19" i="2"/>
  <c r="N19" i="2" s="1"/>
  <c r="F18" i="2"/>
  <c r="N18" i="2" s="1"/>
  <c r="N17" i="2"/>
  <c r="M17" i="2" s="1"/>
  <c r="I17" i="2"/>
  <c r="J17" i="2" s="1"/>
  <c r="H16" i="2"/>
  <c r="N16" i="2" s="1"/>
  <c r="F16" i="2"/>
  <c r="G15" i="2"/>
  <c r="F15" i="2"/>
  <c r="N15" i="2" s="1"/>
  <c r="H14" i="2"/>
  <c r="F14" i="2"/>
  <c r="N14" i="2" s="1"/>
  <c r="F13" i="2"/>
  <c r="N13" i="2" s="1"/>
  <c r="F12" i="2"/>
  <c r="N12" i="2" s="1"/>
  <c r="H11" i="2"/>
  <c r="N11" i="2" s="1"/>
  <c r="F11" i="2"/>
  <c r="N10" i="2"/>
  <c r="A10" i="2" s="1"/>
  <c r="M10" i="2"/>
  <c r="O10" i="2" s="1"/>
  <c r="I10" i="2"/>
  <c r="F10" i="2"/>
  <c r="N9" i="2"/>
  <c r="A9" i="2" s="1"/>
  <c r="M9" i="2"/>
  <c r="O9" i="2" s="1"/>
  <c r="I9" i="2"/>
  <c r="A14" i="2" l="1"/>
  <c r="M14" i="2"/>
  <c r="I14" i="2"/>
  <c r="J14" i="2" s="1"/>
  <c r="M19" i="2"/>
  <c r="I19" i="2"/>
  <c r="J19" i="2" s="1"/>
  <c r="A19" i="2"/>
  <c r="M18" i="2"/>
  <c r="I18" i="2"/>
  <c r="J18" i="2" s="1"/>
  <c r="L18" i="2"/>
  <c r="A18" i="2"/>
  <c r="O21" i="2"/>
  <c r="M15" i="2"/>
  <c r="L15" i="2"/>
  <c r="I15" i="2"/>
  <c r="J15" i="2" s="1"/>
  <c r="A15" i="2"/>
  <c r="I31" i="2"/>
  <c r="L31" i="2"/>
  <c r="J31" i="2"/>
  <c r="A31" i="2"/>
  <c r="M31" i="2"/>
  <c r="A11" i="2"/>
  <c r="A32" i="2"/>
  <c r="A24" i="2"/>
  <c r="M11" i="2"/>
  <c r="O11" i="2" s="1"/>
  <c r="J11" i="2"/>
  <c r="A27" i="2"/>
  <c r="I11" i="2"/>
  <c r="M16" i="2"/>
  <c r="L16" i="2" s="1"/>
  <c r="I16" i="2"/>
  <c r="J16" i="2" s="1"/>
  <c r="A16" i="2"/>
  <c r="I28" i="2"/>
  <c r="A28" i="2"/>
  <c r="J28" i="2"/>
  <c r="M28" i="2"/>
  <c r="L28" i="2" s="1"/>
  <c r="I23" i="2"/>
  <c r="J23" i="2" s="1"/>
  <c r="L23" i="2"/>
  <c r="A23" i="2"/>
  <c r="M23" i="2"/>
  <c r="L35" i="2"/>
  <c r="B6" i="3"/>
  <c r="B5" i="3"/>
  <c r="A12" i="2"/>
  <c r="M12" i="2"/>
  <c r="O12" i="2" s="1"/>
  <c r="I12" i="2"/>
  <c r="J12" i="2" s="1"/>
  <c r="I25" i="2"/>
  <c r="J25" i="2" s="1"/>
  <c r="M25" i="2"/>
  <c r="L25" i="2"/>
  <c r="A25" i="2"/>
  <c r="O36" i="2"/>
  <c r="A13" i="2"/>
  <c r="L13" i="2"/>
  <c r="M13" i="2"/>
  <c r="J13" i="2"/>
  <c r="I13" i="2"/>
  <c r="L17" i="2"/>
  <c r="O17" i="2"/>
  <c r="I26" i="2"/>
  <c r="J26" i="2"/>
  <c r="M26" i="2"/>
  <c r="L26" i="2" s="1"/>
  <c r="A26" i="2"/>
  <c r="A52" i="2"/>
  <c r="L52" i="2"/>
  <c r="M90" i="2"/>
  <c r="O90" i="2" s="1"/>
  <c r="L90" i="2"/>
  <c r="I90" i="2"/>
  <c r="L143" i="2"/>
  <c r="I143" i="2"/>
  <c r="A143" i="2"/>
  <c r="M176" i="2"/>
  <c r="O176" i="2" s="1"/>
  <c r="L176" i="2"/>
  <c r="J176" i="2"/>
  <c r="I176" i="2"/>
  <c r="A194" i="2"/>
  <c r="I194" i="2"/>
  <c r="M194" i="2"/>
  <c r="O194" i="2" s="1"/>
  <c r="A55" i="2"/>
  <c r="M72" i="2"/>
  <c r="O72" i="2" s="1"/>
  <c r="J72" i="2"/>
  <c r="I72" i="2"/>
  <c r="L167" i="2"/>
  <c r="I167" i="2"/>
  <c r="A167" i="2"/>
  <c r="I203" i="2"/>
  <c r="A203" i="2"/>
  <c r="M203" i="2"/>
  <c r="O203" i="2" s="1"/>
  <c r="L203" i="2"/>
  <c r="J203" i="2"/>
  <c r="I211" i="2"/>
  <c r="A211" i="2"/>
  <c r="L211" i="2"/>
  <c r="J211" i="2"/>
  <c r="I227" i="2"/>
  <c r="A227" i="2"/>
  <c r="M227" i="2"/>
  <c r="O227" i="2" s="1"/>
  <c r="J227" i="2"/>
  <c r="I368" i="2"/>
  <c r="A368" i="2"/>
  <c r="M368" i="2"/>
  <c r="O368" i="2" s="1"/>
  <c r="L368" i="2"/>
  <c r="J368" i="2"/>
  <c r="A390" i="2"/>
  <c r="I390" i="2"/>
  <c r="M390" i="2"/>
  <c r="O390" i="2" s="1"/>
  <c r="L390" i="2"/>
  <c r="J390" i="2"/>
  <c r="J400" i="2"/>
  <c r="I400" i="2"/>
  <c r="A400" i="2"/>
  <c r="L400" i="2"/>
  <c r="M400" i="2"/>
  <c r="O400" i="2" s="1"/>
  <c r="I447" i="2"/>
  <c r="A447" i="2"/>
  <c r="L447" i="2"/>
  <c r="J447" i="2"/>
  <c r="M447" i="2"/>
  <c r="O447" i="2" s="1"/>
  <c r="J9" i="2"/>
  <c r="J10" i="2"/>
  <c r="A20" i="2"/>
  <c r="J21" i="2"/>
  <c r="M22" i="2"/>
  <c r="M30" i="2"/>
  <c r="A33" i="2"/>
  <c r="A34" i="2"/>
  <c r="A37" i="2"/>
  <c r="J44" i="2"/>
  <c r="M50" i="2"/>
  <c r="O50" i="2" s="1"/>
  <c r="I50" i="2"/>
  <c r="J52" i="2"/>
  <c r="J55" i="2"/>
  <c r="I60" i="2"/>
  <c r="L63" i="2"/>
  <c r="I63" i="2"/>
  <c r="A63" i="2"/>
  <c r="A69" i="2"/>
  <c r="L79" i="2"/>
  <c r="I79" i="2"/>
  <c r="A79" i="2"/>
  <c r="M88" i="2"/>
  <c r="O88" i="2" s="1"/>
  <c r="J88" i="2"/>
  <c r="I88" i="2"/>
  <c r="A90" i="2"/>
  <c r="I93" i="2"/>
  <c r="M93" i="2"/>
  <c r="O93" i="2" s="1"/>
  <c r="M104" i="2"/>
  <c r="O104" i="2" s="1"/>
  <c r="J104" i="2"/>
  <c r="I104" i="2"/>
  <c r="A106" i="2"/>
  <c r="I109" i="2"/>
  <c r="M109" i="2"/>
  <c r="O109" i="2" s="1"/>
  <c r="M120" i="2"/>
  <c r="O120" i="2" s="1"/>
  <c r="J120" i="2"/>
  <c r="I120" i="2"/>
  <c r="J127" i="2"/>
  <c r="J143" i="2"/>
  <c r="J157" i="2"/>
  <c r="M162" i="2"/>
  <c r="O162" i="2" s="1"/>
  <c r="L162" i="2"/>
  <c r="I162" i="2"/>
  <c r="I173" i="2"/>
  <c r="A173" i="2"/>
  <c r="M173" i="2"/>
  <c r="O173" i="2" s="1"/>
  <c r="L175" i="2"/>
  <c r="J175" i="2"/>
  <c r="I175" i="2"/>
  <c r="A175" i="2"/>
  <c r="J189" i="2"/>
  <c r="J194" i="2"/>
  <c r="I267" i="2"/>
  <c r="A267" i="2"/>
  <c r="M267" i="2"/>
  <c r="O267" i="2" s="1"/>
  <c r="L267" i="2"/>
  <c r="I274" i="2"/>
  <c r="I283" i="2"/>
  <c r="A283" i="2"/>
  <c r="M283" i="2"/>
  <c r="O283" i="2" s="1"/>
  <c r="J283" i="2"/>
  <c r="J369" i="2"/>
  <c r="I369" i="2"/>
  <c r="M369" i="2"/>
  <c r="O369" i="2" s="1"/>
  <c r="L369" i="2"/>
  <c r="A369" i="2"/>
  <c r="M394" i="2"/>
  <c r="O394" i="2" s="1"/>
  <c r="L394" i="2"/>
  <c r="J394" i="2"/>
  <c r="I394" i="2"/>
  <c r="A394" i="2"/>
  <c r="J29" i="2"/>
  <c r="I44" i="2"/>
  <c r="I52" i="2"/>
  <c r="I61" i="2"/>
  <c r="M61" i="2"/>
  <c r="O61" i="2" s="1"/>
  <c r="I77" i="2"/>
  <c r="M77" i="2"/>
  <c r="O77" i="2" s="1"/>
  <c r="M130" i="2"/>
  <c r="O130" i="2" s="1"/>
  <c r="L130" i="2"/>
  <c r="I130" i="2"/>
  <c r="M146" i="2"/>
  <c r="O146" i="2" s="1"/>
  <c r="L146" i="2"/>
  <c r="I146" i="2"/>
  <c r="A157" i="2"/>
  <c r="M198" i="2"/>
  <c r="O198" i="2" s="1"/>
  <c r="L198" i="2"/>
  <c r="J198" i="2"/>
  <c r="I198" i="2"/>
  <c r="L9" i="2"/>
  <c r="L10" i="2"/>
  <c r="A17" i="2"/>
  <c r="M29" i="2"/>
  <c r="L47" i="2"/>
  <c r="I47" i="2"/>
  <c r="M52" i="2"/>
  <c r="O52" i="2" s="1"/>
  <c r="M58" i="2"/>
  <c r="O58" i="2" s="1"/>
  <c r="I58" i="2"/>
  <c r="M74" i="2"/>
  <c r="O74" i="2" s="1"/>
  <c r="L74" i="2"/>
  <c r="I74" i="2"/>
  <c r="J90" i="2"/>
  <c r="L95" i="2"/>
  <c r="I95" i="2"/>
  <c r="A95" i="2"/>
  <c r="L111" i="2"/>
  <c r="I111" i="2"/>
  <c r="A111" i="2"/>
  <c r="I125" i="2"/>
  <c r="M125" i="2"/>
  <c r="O125" i="2" s="1"/>
  <c r="M136" i="2"/>
  <c r="O136" i="2" s="1"/>
  <c r="J136" i="2"/>
  <c r="I136" i="2"/>
  <c r="I141" i="2"/>
  <c r="M141" i="2"/>
  <c r="O141" i="2" s="1"/>
  <c r="M143" i="2"/>
  <c r="O143" i="2" s="1"/>
  <c r="M152" i="2"/>
  <c r="O152" i="2" s="1"/>
  <c r="J152" i="2"/>
  <c r="I152" i="2"/>
  <c r="M168" i="2"/>
  <c r="O168" i="2" s="1"/>
  <c r="L168" i="2"/>
  <c r="J168" i="2"/>
  <c r="I168" i="2"/>
  <c r="A176" i="2"/>
  <c r="I181" i="2"/>
  <c r="A181" i="2"/>
  <c r="M181" i="2"/>
  <c r="O181" i="2" s="1"/>
  <c r="L183" i="2"/>
  <c r="J183" i="2"/>
  <c r="I183" i="2"/>
  <c r="A183" i="2"/>
  <c r="L194" i="2"/>
  <c r="J196" i="2"/>
  <c r="I196" i="2"/>
  <c r="A196" i="2"/>
  <c r="M196" i="2"/>
  <c r="O196" i="2" s="1"/>
  <c r="M254" i="2"/>
  <c r="O254" i="2" s="1"/>
  <c r="L254" i="2"/>
  <c r="J254" i="2"/>
  <c r="I254" i="2"/>
  <c r="A254" i="2"/>
  <c r="L317" i="2"/>
  <c r="J317" i="2"/>
  <c r="I317" i="2"/>
  <c r="A317" i="2"/>
  <c r="M317" i="2"/>
  <c r="O317" i="2" s="1"/>
  <c r="L325" i="2"/>
  <c r="J325" i="2"/>
  <c r="I325" i="2"/>
  <c r="A325" i="2"/>
  <c r="M366" i="2"/>
  <c r="O366" i="2" s="1"/>
  <c r="L366" i="2"/>
  <c r="J366" i="2"/>
  <c r="I366" i="2"/>
  <c r="A366" i="2"/>
  <c r="L417" i="2"/>
  <c r="J417" i="2"/>
  <c r="I417" i="2"/>
  <c r="A417" i="2"/>
  <c r="I575" i="2"/>
  <c r="M575" i="2"/>
  <c r="O575" i="2" s="1"/>
  <c r="L575" i="2"/>
  <c r="J575" i="2"/>
  <c r="A575" i="2"/>
  <c r="L55" i="2"/>
  <c r="I55" i="2"/>
  <c r="L127" i="2"/>
  <c r="I127" i="2"/>
  <c r="A127" i="2"/>
  <c r="A274" i="2"/>
  <c r="L274" i="2"/>
  <c r="M274" i="2"/>
  <c r="O274" i="2" s="1"/>
  <c r="M326" i="2"/>
  <c r="O326" i="2" s="1"/>
  <c r="L326" i="2"/>
  <c r="J326" i="2"/>
  <c r="I326" i="2"/>
  <c r="A326" i="2"/>
  <c r="L489" i="2"/>
  <c r="A489" i="2"/>
  <c r="M489" i="2"/>
  <c r="O489" i="2" s="1"/>
  <c r="J489" i="2"/>
  <c r="A21" i="2"/>
  <c r="I37" i="2"/>
  <c r="J37" i="2" s="1"/>
  <c r="M37" i="2"/>
  <c r="M64" i="2"/>
  <c r="O64" i="2" s="1"/>
  <c r="J64" i="2"/>
  <c r="I64" i="2"/>
  <c r="M80" i="2"/>
  <c r="O80" i="2" s="1"/>
  <c r="J80" i="2"/>
  <c r="I80" i="2"/>
  <c r="L159" i="2"/>
  <c r="I159" i="2"/>
  <c r="A159" i="2"/>
  <c r="L261" i="2"/>
  <c r="J261" i="2"/>
  <c r="I261" i="2"/>
  <c r="M261" i="2"/>
  <c r="O261" i="2" s="1"/>
  <c r="A261" i="2"/>
  <c r="M310" i="2"/>
  <c r="O310" i="2" s="1"/>
  <c r="L310" i="2"/>
  <c r="J310" i="2"/>
  <c r="I310" i="2"/>
  <c r="A310" i="2"/>
  <c r="M402" i="2"/>
  <c r="O402" i="2" s="1"/>
  <c r="L402" i="2"/>
  <c r="J402" i="2"/>
  <c r="A402" i="2"/>
  <c r="I402" i="2"/>
  <c r="L5" i="2"/>
  <c r="J24" i="2"/>
  <c r="A30" i="2"/>
  <c r="J32" i="2"/>
  <c r="J33" i="2"/>
  <c r="J36" i="2"/>
  <c r="I39" i="2"/>
  <c r="A42" i="2"/>
  <c r="J45" i="2"/>
  <c r="J53" i="2"/>
  <c r="I56" i="2"/>
  <c r="A61" i="2"/>
  <c r="L71" i="2"/>
  <c r="I71" i="2"/>
  <c r="A71" i="2"/>
  <c r="A77" i="2"/>
  <c r="I85" i="2"/>
  <c r="M85" i="2"/>
  <c r="O85" i="2" s="1"/>
  <c r="M96" i="2"/>
  <c r="O96" i="2" s="1"/>
  <c r="J96" i="2"/>
  <c r="I96" i="2"/>
  <c r="A98" i="2"/>
  <c r="I101" i="2"/>
  <c r="M101" i="2"/>
  <c r="O101" i="2" s="1"/>
  <c r="M112" i="2"/>
  <c r="O112" i="2" s="1"/>
  <c r="J112" i="2"/>
  <c r="I112" i="2"/>
  <c r="A114" i="2"/>
  <c r="I117" i="2"/>
  <c r="M117" i="2"/>
  <c r="O117" i="2" s="1"/>
  <c r="J135" i="2"/>
  <c r="J151" i="2"/>
  <c r="M154" i="2"/>
  <c r="O154" i="2" s="1"/>
  <c r="L154" i="2"/>
  <c r="I154" i="2"/>
  <c r="A160" i="2"/>
  <c r="J165" i="2"/>
  <c r="L229" i="2"/>
  <c r="J229" i="2"/>
  <c r="I229" i="2"/>
  <c r="A229" i="2"/>
  <c r="M278" i="2"/>
  <c r="O278" i="2" s="1"/>
  <c r="L278" i="2"/>
  <c r="J278" i="2"/>
  <c r="A278" i="2"/>
  <c r="L293" i="2"/>
  <c r="J293" i="2"/>
  <c r="I293" i="2"/>
  <c r="A293" i="2"/>
  <c r="M293" i="2"/>
  <c r="O293" i="2" s="1"/>
  <c r="J385" i="2"/>
  <c r="I385" i="2"/>
  <c r="M385" i="2"/>
  <c r="O385" i="2" s="1"/>
  <c r="L385" i="2"/>
  <c r="A385" i="2"/>
  <c r="L409" i="2"/>
  <c r="J409" i="2"/>
  <c r="I409" i="2"/>
  <c r="M409" i="2"/>
  <c r="O409" i="2" s="1"/>
  <c r="A409" i="2"/>
  <c r="L457" i="2"/>
  <c r="J457" i="2"/>
  <c r="I457" i="2"/>
  <c r="A457" i="2"/>
  <c r="A44" i="2"/>
  <c r="L44" i="2"/>
  <c r="M106" i="2"/>
  <c r="O106" i="2" s="1"/>
  <c r="L106" i="2"/>
  <c r="I106" i="2"/>
  <c r="I157" i="2"/>
  <c r="M157" i="2"/>
  <c r="O157" i="2" s="1"/>
  <c r="I189" i="2"/>
  <c r="A189" i="2"/>
  <c r="M189" i="2"/>
  <c r="O189" i="2" s="1"/>
  <c r="A39" i="2"/>
  <c r="A60" i="2"/>
  <c r="L60" i="2"/>
  <c r="I69" i="2"/>
  <c r="M69" i="2"/>
  <c r="O69" i="2" s="1"/>
  <c r="M122" i="2"/>
  <c r="O122" i="2" s="1"/>
  <c r="L122" i="2"/>
  <c r="I122" i="2"/>
  <c r="M138" i="2"/>
  <c r="O138" i="2" s="1"/>
  <c r="L138" i="2"/>
  <c r="I138" i="2"/>
  <c r="M184" i="2"/>
  <c r="O184" i="2" s="1"/>
  <c r="L184" i="2"/>
  <c r="J184" i="2"/>
  <c r="I184" i="2"/>
  <c r="L205" i="2"/>
  <c r="J205" i="2"/>
  <c r="I205" i="2"/>
  <c r="M205" i="2"/>
  <c r="O205" i="2" s="1"/>
  <c r="A205" i="2"/>
  <c r="I323" i="2"/>
  <c r="A323" i="2"/>
  <c r="M323" i="2"/>
  <c r="O323" i="2" s="1"/>
  <c r="L323" i="2"/>
  <c r="I384" i="2"/>
  <c r="A384" i="2"/>
  <c r="M384" i="2"/>
  <c r="O384" i="2" s="1"/>
  <c r="L384" i="2"/>
  <c r="J384" i="2"/>
  <c r="A22" i="2"/>
  <c r="A29" i="2"/>
  <c r="L33" i="2"/>
  <c r="A35" i="2"/>
  <c r="J39" i="2"/>
  <c r="J42" i="2"/>
  <c r="M48" i="2"/>
  <c r="O48" i="2" s="1"/>
  <c r="J48" i="2"/>
  <c r="A50" i="2"/>
  <c r="J61" i="2"/>
  <c r="M66" i="2"/>
  <c r="O66" i="2" s="1"/>
  <c r="L66" i="2"/>
  <c r="I66" i="2"/>
  <c r="A72" i="2"/>
  <c r="J77" i="2"/>
  <c r="L87" i="2"/>
  <c r="I87" i="2"/>
  <c r="A87" i="2"/>
  <c r="A93" i="2"/>
  <c r="L103" i="2"/>
  <c r="I103" i="2"/>
  <c r="A103" i="2"/>
  <c r="A109" i="2"/>
  <c r="L119" i="2"/>
  <c r="I119" i="2"/>
  <c r="A119" i="2"/>
  <c r="M128" i="2"/>
  <c r="O128" i="2" s="1"/>
  <c r="J128" i="2"/>
  <c r="I128" i="2"/>
  <c r="A130" i="2"/>
  <c r="I133" i="2"/>
  <c r="M133" i="2"/>
  <c r="O133" i="2" s="1"/>
  <c r="M144" i="2"/>
  <c r="O144" i="2" s="1"/>
  <c r="J144" i="2"/>
  <c r="I144" i="2"/>
  <c r="A146" i="2"/>
  <c r="I149" i="2"/>
  <c r="M149" i="2"/>
  <c r="O149" i="2" s="1"/>
  <c r="J167" i="2"/>
  <c r="L213" i="2"/>
  <c r="J213" i="2"/>
  <c r="I213" i="2"/>
  <c r="A213" i="2"/>
  <c r="M262" i="2"/>
  <c r="O262" i="2" s="1"/>
  <c r="L262" i="2"/>
  <c r="J262" i="2"/>
  <c r="I262" i="2"/>
  <c r="L285" i="2"/>
  <c r="J285" i="2"/>
  <c r="I285" i="2"/>
  <c r="A285" i="2"/>
  <c r="I307" i="2"/>
  <c r="A307" i="2"/>
  <c r="M307" i="2"/>
  <c r="O307" i="2" s="1"/>
  <c r="L307" i="2"/>
  <c r="J307" i="2"/>
  <c r="L191" i="2"/>
  <c r="J191" i="2"/>
  <c r="I191" i="2"/>
  <c r="A191" i="2"/>
  <c r="I363" i="2"/>
  <c r="A363" i="2"/>
  <c r="M363" i="2"/>
  <c r="O363" i="2" s="1"/>
  <c r="L363" i="2"/>
  <c r="J363" i="2"/>
  <c r="L449" i="2"/>
  <c r="J449" i="2"/>
  <c r="I449" i="2"/>
  <c r="A449" i="2"/>
  <c r="M449" i="2"/>
  <c r="O449" i="2" s="1"/>
  <c r="J22" i="2"/>
  <c r="M24" i="2"/>
  <c r="J30" i="2"/>
  <c r="M32" i="2"/>
  <c r="I35" i="2"/>
  <c r="J35" i="2" s="1"/>
  <c r="A36" i="2"/>
  <c r="L36" i="2"/>
  <c r="M39" i="2"/>
  <c r="O39" i="2" s="1"/>
  <c r="L42" i="2"/>
  <c r="I45" i="2"/>
  <c r="M45" i="2"/>
  <c r="O45" i="2" s="1"/>
  <c r="A47" i="2"/>
  <c r="J50" i="2"/>
  <c r="I53" i="2"/>
  <c r="M53" i="2"/>
  <c r="O53" i="2" s="1"/>
  <c r="M56" i="2"/>
  <c r="O56" i="2" s="1"/>
  <c r="J56" i="2"/>
  <c r="A58" i="2"/>
  <c r="L61" i="2"/>
  <c r="J63" i="2"/>
  <c r="L72" i="2"/>
  <c r="L77" i="2"/>
  <c r="J79" i="2"/>
  <c r="M82" i="2"/>
  <c r="O82" i="2" s="1"/>
  <c r="L82" i="2"/>
  <c r="I82" i="2"/>
  <c r="A88" i="2"/>
  <c r="J93" i="2"/>
  <c r="M98" i="2"/>
  <c r="O98" i="2" s="1"/>
  <c r="L98" i="2"/>
  <c r="I98" i="2"/>
  <c r="A104" i="2"/>
  <c r="J109" i="2"/>
  <c r="M114" i="2"/>
  <c r="O114" i="2" s="1"/>
  <c r="L114" i="2"/>
  <c r="I114" i="2"/>
  <c r="A120" i="2"/>
  <c r="A125" i="2"/>
  <c r="J130" i="2"/>
  <c r="L135" i="2"/>
  <c r="I135" i="2"/>
  <c r="A135" i="2"/>
  <c r="A141" i="2"/>
  <c r="J146" i="2"/>
  <c r="L151" i="2"/>
  <c r="I151" i="2"/>
  <c r="A151" i="2"/>
  <c r="M160" i="2"/>
  <c r="O160" i="2" s="1"/>
  <c r="J160" i="2"/>
  <c r="I160" i="2"/>
  <c r="A162" i="2"/>
  <c r="I165" i="2"/>
  <c r="M165" i="2"/>
  <c r="O165" i="2" s="1"/>
  <c r="M167" i="2"/>
  <c r="O167" i="2" s="1"/>
  <c r="J173" i="2"/>
  <c r="A198" i="2"/>
  <c r="M211" i="2"/>
  <c r="O211" i="2" s="1"/>
  <c r="L227" i="2"/>
  <c r="I259" i="2"/>
  <c r="A259" i="2"/>
  <c r="M259" i="2"/>
  <c r="O259" i="2" s="1"/>
  <c r="L259" i="2"/>
  <c r="J259" i="2"/>
  <c r="A266" i="2"/>
  <c r="L266" i="2"/>
  <c r="M266" i="2"/>
  <c r="O266" i="2" s="1"/>
  <c r="J266" i="2"/>
  <c r="I266" i="2"/>
  <c r="L269" i="2"/>
  <c r="J269" i="2"/>
  <c r="I269" i="2"/>
  <c r="M269" i="2"/>
  <c r="O269" i="2" s="1"/>
  <c r="L341" i="2"/>
  <c r="J341" i="2"/>
  <c r="I341" i="2"/>
  <c r="A341" i="2"/>
  <c r="M341" i="2"/>
  <c r="O341" i="2" s="1"/>
  <c r="L378" i="2"/>
  <c r="J378" i="2"/>
  <c r="I378" i="2"/>
  <c r="A378" i="2"/>
  <c r="L382" i="2"/>
  <c r="J382" i="2"/>
  <c r="I382" i="2"/>
  <c r="A382" i="2"/>
  <c r="L68" i="2"/>
  <c r="L76" i="2"/>
  <c r="L84" i="2"/>
  <c r="L92" i="2"/>
  <c r="L100" i="2"/>
  <c r="L108" i="2"/>
  <c r="L116" i="2"/>
  <c r="L124" i="2"/>
  <c r="L132" i="2"/>
  <c r="L140" i="2"/>
  <c r="L148" i="2"/>
  <c r="L156" i="2"/>
  <c r="L164" i="2"/>
  <c r="I170" i="2"/>
  <c r="L172" i="2"/>
  <c r="I178" i="2"/>
  <c r="L180" i="2"/>
  <c r="I186" i="2"/>
  <c r="L188" i="2"/>
  <c r="L202" i="2"/>
  <c r="J210" i="2"/>
  <c r="I218" i="2"/>
  <c r="I219" i="2"/>
  <c r="A219" i="2"/>
  <c r="L221" i="2"/>
  <c r="J221" i="2"/>
  <c r="I221" i="2"/>
  <c r="M238" i="2"/>
  <c r="O238" i="2" s="1"/>
  <c r="L238" i="2"/>
  <c r="J238" i="2"/>
  <c r="I243" i="2"/>
  <c r="A243" i="2"/>
  <c r="M243" i="2"/>
  <c r="O243" i="2" s="1"/>
  <c r="L245" i="2"/>
  <c r="J245" i="2"/>
  <c r="I245" i="2"/>
  <c r="A250" i="2"/>
  <c r="L250" i="2"/>
  <c r="I315" i="2"/>
  <c r="A315" i="2"/>
  <c r="M315" i="2"/>
  <c r="O315" i="2" s="1"/>
  <c r="M318" i="2"/>
  <c r="O318" i="2" s="1"/>
  <c r="L318" i="2"/>
  <c r="J318" i="2"/>
  <c r="I318" i="2"/>
  <c r="L333" i="2"/>
  <c r="J333" i="2"/>
  <c r="I333" i="2"/>
  <c r="A333" i="2"/>
  <c r="M426" i="2"/>
  <c r="O426" i="2" s="1"/>
  <c r="L426" i="2"/>
  <c r="J426" i="2"/>
  <c r="I426" i="2"/>
  <c r="J432" i="2"/>
  <c r="I432" i="2"/>
  <c r="A432" i="2"/>
  <c r="L432" i="2"/>
  <c r="L441" i="2"/>
  <c r="J441" i="2"/>
  <c r="I441" i="2"/>
  <c r="M441" i="2"/>
  <c r="O441" i="2" s="1"/>
  <c r="L465" i="2"/>
  <c r="J465" i="2"/>
  <c r="I465" i="2"/>
  <c r="A465" i="2"/>
  <c r="L170" i="2"/>
  <c r="L178" i="2"/>
  <c r="L186" i="2"/>
  <c r="J204" i="2"/>
  <c r="I204" i="2"/>
  <c r="A204" i="2"/>
  <c r="M206" i="2"/>
  <c r="O206" i="2" s="1"/>
  <c r="L206" i="2"/>
  <c r="J206" i="2"/>
  <c r="L218" i="2"/>
  <c r="L220" i="2"/>
  <c r="A222" i="2"/>
  <c r="J226" i="2"/>
  <c r="M230" i="2"/>
  <c r="O230" i="2" s="1"/>
  <c r="L230" i="2"/>
  <c r="J230" i="2"/>
  <c r="A234" i="2"/>
  <c r="L234" i="2"/>
  <c r="M286" i="2"/>
  <c r="O286" i="2" s="1"/>
  <c r="L286" i="2"/>
  <c r="J286" i="2"/>
  <c r="I331" i="2"/>
  <c r="A331" i="2"/>
  <c r="M331" i="2"/>
  <c r="O331" i="2" s="1"/>
  <c r="M334" i="2"/>
  <c r="O334" i="2" s="1"/>
  <c r="L334" i="2"/>
  <c r="J334" i="2"/>
  <c r="I334" i="2"/>
  <c r="L349" i="2"/>
  <c r="J349" i="2"/>
  <c r="I349" i="2"/>
  <c r="A349" i="2"/>
  <c r="I415" i="2"/>
  <c r="A415" i="2"/>
  <c r="L415" i="2"/>
  <c r="J415" i="2"/>
  <c r="A430" i="2"/>
  <c r="L430" i="2"/>
  <c r="J430" i="2"/>
  <c r="I430" i="2"/>
  <c r="I455" i="2"/>
  <c r="A455" i="2"/>
  <c r="L455" i="2"/>
  <c r="J455" i="2"/>
  <c r="J212" i="2"/>
  <c r="I212" i="2"/>
  <c r="A212" i="2"/>
  <c r="M214" i="2"/>
  <c r="O214" i="2" s="1"/>
  <c r="L214" i="2"/>
  <c r="J214" i="2"/>
  <c r="M218" i="2"/>
  <c r="O218" i="2" s="1"/>
  <c r="M246" i="2"/>
  <c r="O246" i="2" s="1"/>
  <c r="L246" i="2"/>
  <c r="J246" i="2"/>
  <c r="I251" i="2"/>
  <c r="A251" i="2"/>
  <c r="M251" i="2"/>
  <c r="O251" i="2" s="1"/>
  <c r="L253" i="2"/>
  <c r="J253" i="2"/>
  <c r="I253" i="2"/>
  <c r="A258" i="2"/>
  <c r="L258" i="2"/>
  <c r="I291" i="2"/>
  <c r="A291" i="2"/>
  <c r="M291" i="2"/>
  <c r="O291" i="2" s="1"/>
  <c r="M294" i="2"/>
  <c r="O294" i="2" s="1"/>
  <c r="L294" i="2"/>
  <c r="J294" i="2"/>
  <c r="I294" i="2"/>
  <c r="L301" i="2"/>
  <c r="J301" i="2"/>
  <c r="I301" i="2"/>
  <c r="A301" i="2"/>
  <c r="I339" i="2"/>
  <c r="A339" i="2"/>
  <c r="M339" i="2"/>
  <c r="O339" i="2" s="1"/>
  <c r="M342" i="2"/>
  <c r="O342" i="2" s="1"/>
  <c r="L342" i="2"/>
  <c r="J342" i="2"/>
  <c r="I342" i="2"/>
  <c r="L357" i="2"/>
  <c r="J357" i="2"/>
  <c r="I357" i="2"/>
  <c r="A357" i="2"/>
  <c r="A398" i="2"/>
  <c r="L398" i="2"/>
  <c r="J398" i="2"/>
  <c r="I398" i="2"/>
  <c r="J424" i="2"/>
  <c r="I424" i="2"/>
  <c r="A424" i="2"/>
  <c r="M424" i="2"/>
  <c r="O424" i="2" s="1"/>
  <c r="I439" i="2"/>
  <c r="A439" i="2"/>
  <c r="M439" i="2"/>
  <c r="O439" i="2" s="1"/>
  <c r="I463" i="2"/>
  <c r="A463" i="2"/>
  <c r="L463" i="2"/>
  <c r="J463" i="2"/>
  <c r="A470" i="2"/>
  <c r="L470" i="2"/>
  <c r="M470" i="2"/>
  <c r="O470" i="2" s="1"/>
  <c r="J470" i="2"/>
  <c r="I470" i="2"/>
  <c r="J220" i="2"/>
  <c r="I220" i="2"/>
  <c r="A220" i="2"/>
  <c r="M222" i="2"/>
  <c r="O222" i="2" s="1"/>
  <c r="L222" i="2"/>
  <c r="J222" i="2"/>
  <c r="A226" i="2"/>
  <c r="L226" i="2"/>
  <c r="M270" i="2"/>
  <c r="O270" i="2" s="1"/>
  <c r="L270" i="2"/>
  <c r="J270" i="2"/>
  <c r="I275" i="2"/>
  <c r="A275" i="2"/>
  <c r="M275" i="2"/>
  <c r="O275" i="2" s="1"/>
  <c r="L277" i="2"/>
  <c r="J277" i="2"/>
  <c r="I277" i="2"/>
  <c r="A282" i="2"/>
  <c r="L282" i="2"/>
  <c r="L309" i="2"/>
  <c r="J309" i="2"/>
  <c r="I309" i="2"/>
  <c r="A309" i="2"/>
  <c r="I347" i="2"/>
  <c r="A347" i="2"/>
  <c r="M347" i="2"/>
  <c r="O347" i="2" s="1"/>
  <c r="M350" i="2"/>
  <c r="O350" i="2" s="1"/>
  <c r="L350" i="2"/>
  <c r="J350" i="2"/>
  <c r="I350" i="2"/>
  <c r="L365" i="2"/>
  <c r="J365" i="2"/>
  <c r="I365" i="2"/>
  <c r="A365" i="2"/>
  <c r="J392" i="2"/>
  <c r="I392" i="2"/>
  <c r="A392" i="2"/>
  <c r="M392" i="2"/>
  <c r="O392" i="2" s="1"/>
  <c r="I407" i="2"/>
  <c r="A407" i="2"/>
  <c r="M407" i="2"/>
  <c r="O407" i="2" s="1"/>
  <c r="I195" i="2"/>
  <c r="A195" i="2"/>
  <c r="L197" i="2"/>
  <c r="J197" i="2"/>
  <c r="I197" i="2"/>
  <c r="I235" i="2"/>
  <c r="A235" i="2"/>
  <c r="M235" i="2"/>
  <c r="O235" i="2" s="1"/>
  <c r="L237" i="2"/>
  <c r="J237" i="2"/>
  <c r="I237" i="2"/>
  <c r="A242" i="2"/>
  <c r="L242" i="2"/>
  <c r="I250" i="2"/>
  <c r="I299" i="2"/>
  <c r="A299" i="2"/>
  <c r="M299" i="2"/>
  <c r="O299" i="2" s="1"/>
  <c r="M302" i="2"/>
  <c r="O302" i="2" s="1"/>
  <c r="L302" i="2"/>
  <c r="J302" i="2"/>
  <c r="I302" i="2"/>
  <c r="I355" i="2"/>
  <c r="A355" i="2"/>
  <c r="M355" i="2"/>
  <c r="O355" i="2" s="1"/>
  <c r="M358" i="2"/>
  <c r="O358" i="2" s="1"/>
  <c r="L358" i="2"/>
  <c r="J358" i="2"/>
  <c r="I358" i="2"/>
  <c r="A422" i="2"/>
  <c r="I422" i="2"/>
  <c r="M422" i="2"/>
  <c r="O422" i="2" s="1"/>
  <c r="M434" i="2"/>
  <c r="O434" i="2" s="1"/>
  <c r="L434" i="2"/>
  <c r="J434" i="2"/>
  <c r="A434" i="2"/>
  <c r="L290" i="2"/>
  <c r="L298" i="2"/>
  <c r="L306" i="2"/>
  <c r="L314" i="2"/>
  <c r="L322" i="2"/>
  <c r="L330" i="2"/>
  <c r="L338" i="2"/>
  <c r="L346" i="2"/>
  <c r="L354" i="2"/>
  <c r="L362" i="2"/>
  <c r="M371" i="2"/>
  <c r="O371" i="2" s="1"/>
  <c r="L371" i="2"/>
  <c r="M387" i="2"/>
  <c r="O387" i="2" s="1"/>
  <c r="L387" i="2"/>
  <c r="M514" i="2"/>
  <c r="O514" i="2" s="1"/>
  <c r="L514" i="2"/>
  <c r="J514" i="2"/>
  <c r="A514" i="2"/>
  <c r="M522" i="2"/>
  <c r="O522" i="2" s="1"/>
  <c r="L522" i="2"/>
  <c r="J522" i="2"/>
  <c r="I522" i="2"/>
  <c r="M530" i="2"/>
  <c r="O530" i="2" s="1"/>
  <c r="L530" i="2"/>
  <c r="J530" i="2"/>
  <c r="I530" i="2"/>
  <c r="M538" i="2"/>
  <c r="O538" i="2" s="1"/>
  <c r="L538" i="2"/>
  <c r="J538" i="2"/>
  <c r="I538" i="2"/>
  <c r="M546" i="2"/>
  <c r="O546" i="2" s="1"/>
  <c r="L546" i="2"/>
  <c r="J546" i="2"/>
  <c r="I546" i="2"/>
  <c r="M554" i="2"/>
  <c r="O554" i="2" s="1"/>
  <c r="L554" i="2"/>
  <c r="J554" i="2"/>
  <c r="I554" i="2"/>
  <c r="M562" i="2"/>
  <c r="O562" i="2" s="1"/>
  <c r="L562" i="2"/>
  <c r="J562" i="2"/>
  <c r="I562" i="2"/>
  <c r="I633" i="2"/>
  <c r="A633" i="2"/>
  <c r="M633" i="2"/>
  <c r="O633" i="2" s="1"/>
  <c r="L633" i="2"/>
  <c r="J633" i="2"/>
  <c r="J377" i="2"/>
  <c r="I377" i="2"/>
  <c r="I476" i="2"/>
  <c r="A476" i="2"/>
  <c r="M476" i="2"/>
  <c r="O476" i="2" s="1"/>
  <c r="I495" i="2"/>
  <c r="M495" i="2"/>
  <c r="O495" i="2" s="1"/>
  <c r="J495" i="2"/>
  <c r="L497" i="2"/>
  <c r="M497" i="2"/>
  <c r="O497" i="2" s="1"/>
  <c r="J497" i="2"/>
  <c r="I497" i="2"/>
  <c r="M793" i="2"/>
  <c r="O793" i="2" s="1"/>
  <c r="L793" i="2"/>
  <c r="J793" i="2"/>
  <c r="I793" i="2"/>
  <c r="A793" i="2"/>
  <c r="A228" i="2"/>
  <c r="A236" i="2"/>
  <c r="L239" i="2"/>
  <c r="A244" i="2"/>
  <c r="L247" i="2"/>
  <c r="A252" i="2"/>
  <c r="L255" i="2"/>
  <c r="A260" i="2"/>
  <c r="L263" i="2"/>
  <c r="A268" i="2"/>
  <c r="L271" i="2"/>
  <c r="A276" i="2"/>
  <c r="L279" i="2"/>
  <c r="A284" i="2"/>
  <c r="A292" i="2"/>
  <c r="A300" i="2"/>
  <c r="A308" i="2"/>
  <c r="A316" i="2"/>
  <c r="A324" i="2"/>
  <c r="A332" i="2"/>
  <c r="A340" i="2"/>
  <c r="A348" i="2"/>
  <c r="A356" i="2"/>
  <c r="A364" i="2"/>
  <c r="M367" i="2"/>
  <c r="O367" i="2" s="1"/>
  <c r="L370" i="2"/>
  <c r="J370" i="2"/>
  <c r="M383" i="2"/>
  <c r="O383" i="2" s="1"/>
  <c r="L386" i="2"/>
  <c r="J386" i="2"/>
  <c r="I399" i="2"/>
  <c r="A399" i="2"/>
  <c r="L401" i="2"/>
  <c r="J401" i="2"/>
  <c r="I401" i="2"/>
  <c r="L406" i="2"/>
  <c r="J416" i="2"/>
  <c r="I416" i="2"/>
  <c r="A416" i="2"/>
  <c r="M418" i="2"/>
  <c r="O418" i="2" s="1"/>
  <c r="L418" i="2"/>
  <c r="J418" i="2"/>
  <c r="I431" i="2"/>
  <c r="A431" i="2"/>
  <c r="L433" i="2"/>
  <c r="J433" i="2"/>
  <c r="I433" i="2"/>
  <c r="L438" i="2"/>
  <c r="J448" i="2"/>
  <c r="I448" i="2"/>
  <c r="A448" i="2"/>
  <c r="M450" i="2"/>
  <c r="O450" i="2" s="1"/>
  <c r="L450" i="2"/>
  <c r="J450" i="2"/>
  <c r="J456" i="2"/>
  <c r="I456" i="2"/>
  <c r="A456" i="2"/>
  <c r="M458" i="2"/>
  <c r="O458" i="2" s="1"/>
  <c r="L458" i="2"/>
  <c r="J458" i="2"/>
  <c r="J464" i="2"/>
  <c r="I464" i="2"/>
  <c r="A464" i="2"/>
  <c r="M466" i="2"/>
  <c r="O466" i="2" s="1"/>
  <c r="L466" i="2"/>
  <c r="J466" i="2"/>
  <c r="L473" i="2"/>
  <c r="J473" i="2"/>
  <c r="I473" i="2"/>
  <c r="A473" i="2"/>
  <c r="M482" i="2"/>
  <c r="O482" i="2" s="1"/>
  <c r="A482" i="2"/>
  <c r="L482" i="2"/>
  <c r="M490" i="2"/>
  <c r="O490" i="2" s="1"/>
  <c r="L490" i="2"/>
  <c r="J490" i="2"/>
  <c r="I490" i="2"/>
  <c r="J570" i="2"/>
  <c r="M570" i="2"/>
  <c r="O570" i="2" s="1"/>
  <c r="L570" i="2"/>
  <c r="I570" i="2"/>
  <c r="A570" i="2"/>
  <c r="I228" i="2"/>
  <c r="I236" i="2"/>
  <c r="I244" i="2"/>
  <c r="I252" i="2"/>
  <c r="I260" i="2"/>
  <c r="I268" i="2"/>
  <c r="I276" i="2"/>
  <c r="I284" i="2"/>
  <c r="I292" i="2"/>
  <c r="I300" i="2"/>
  <c r="I308" i="2"/>
  <c r="I316" i="2"/>
  <c r="I324" i="2"/>
  <c r="I332" i="2"/>
  <c r="I340" i="2"/>
  <c r="I348" i="2"/>
  <c r="I356" i="2"/>
  <c r="I364" i="2"/>
  <c r="I375" i="2"/>
  <c r="M379" i="2"/>
  <c r="O379" i="2" s="1"/>
  <c r="L379" i="2"/>
  <c r="J469" i="2"/>
  <c r="A469" i="2"/>
  <c r="M469" i="2"/>
  <c r="O469" i="2" s="1"/>
  <c r="J477" i="2"/>
  <c r="M477" i="2"/>
  <c r="O477" i="2" s="1"/>
  <c r="L477" i="2"/>
  <c r="I477" i="2"/>
  <c r="J586" i="2"/>
  <c r="M586" i="2"/>
  <c r="O586" i="2" s="1"/>
  <c r="L586" i="2"/>
  <c r="I586" i="2"/>
  <c r="A586" i="2"/>
  <c r="M588" i="2"/>
  <c r="O588" i="2" s="1"/>
  <c r="L588" i="2"/>
  <c r="J588" i="2"/>
  <c r="I588" i="2"/>
  <c r="A588" i="2"/>
  <c r="M620" i="2"/>
  <c r="O620" i="2" s="1"/>
  <c r="L620" i="2"/>
  <c r="I620" i="2"/>
  <c r="J620" i="2"/>
  <c r="A620" i="2"/>
  <c r="A371" i="2"/>
  <c r="J375" i="2"/>
  <c r="I376" i="2"/>
  <c r="A376" i="2"/>
  <c r="A387" i="2"/>
  <c r="I391" i="2"/>
  <c r="A391" i="2"/>
  <c r="L393" i="2"/>
  <c r="J393" i="2"/>
  <c r="I393" i="2"/>
  <c r="J408" i="2"/>
  <c r="I408" i="2"/>
  <c r="A408" i="2"/>
  <c r="M410" i="2"/>
  <c r="O410" i="2" s="1"/>
  <c r="L410" i="2"/>
  <c r="J410" i="2"/>
  <c r="I423" i="2"/>
  <c r="A423" i="2"/>
  <c r="L425" i="2"/>
  <c r="J425" i="2"/>
  <c r="I425" i="2"/>
  <c r="J440" i="2"/>
  <c r="I440" i="2"/>
  <c r="A440" i="2"/>
  <c r="M442" i="2"/>
  <c r="O442" i="2" s="1"/>
  <c r="L442" i="2"/>
  <c r="J442" i="2"/>
  <c r="I484" i="2"/>
  <c r="M484" i="2"/>
  <c r="O484" i="2" s="1"/>
  <c r="L484" i="2"/>
  <c r="J484" i="2"/>
  <c r="I519" i="2"/>
  <c r="A519" i="2"/>
  <c r="M519" i="2"/>
  <c r="O519" i="2" s="1"/>
  <c r="L519" i="2"/>
  <c r="I527" i="2"/>
  <c r="A527" i="2"/>
  <c r="M527" i="2"/>
  <c r="O527" i="2" s="1"/>
  <c r="L527" i="2"/>
  <c r="I535" i="2"/>
  <c r="A535" i="2"/>
  <c r="M535" i="2"/>
  <c r="O535" i="2" s="1"/>
  <c r="L535" i="2"/>
  <c r="I543" i="2"/>
  <c r="A543" i="2"/>
  <c r="M543" i="2"/>
  <c r="O543" i="2" s="1"/>
  <c r="L543" i="2"/>
  <c r="I551" i="2"/>
  <c r="A551" i="2"/>
  <c r="M551" i="2"/>
  <c r="O551" i="2" s="1"/>
  <c r="L551" i="2"/>
  <c r="I559" i="2"/>
  <c r="A559" i="2"/>
  <c r="M559" i="2"/>
  <c r="O559" i="2" s="1"/>
  <c r="L559" i="2"/>
  <c r="I567" i="2"/>
  <c r="A567" i="2"/>
  <c r="M567" i="2"/>
  <c r="O567" i="2" s="1"/>
  <c r="L567" i="2"/>
  <c r="I609" i="2"/>
  <c r="A609" i="2"/>
  <c r="L609" i="2"/>
  <c r="M609" i="2"/>
  <c r="O609" i="2" s="1"/>
  <c r="J609" i="2"/>
  <c r="I479" i="2"/>
  <c r="M479" i="2"/>
  <c r="O479" i="2" s="1"/>
  <c r="A486" i="2"/>
  <c r="L486" i="2"/>
  <c r="A502" i="2"/>
  <c r="L502" i="2"/>
  <c r="M506" i="2"/>
  <c r="O506" i="2" s="1"/>
  <c r="L506" i="2"/>
  <c r="J506" i="2"/>
  <c r="A574" i="2"/>
  <c r="I574" i="2"/>
  <c r="M574" i="2"/>
  <c r="O574" i="2" s="1"/>
  <c r="L574" i="2"/>
  <c r="M604" i="2"/>
  <c r="O604" i="2" s="1"/>
  <c r="L604" i="2"/>
  <c r="J604" i="2"/>
  <c r="I604" i="2"/>
  <c r="A604" i="2"/>
  <c r="L395" i="2"/>
  <c r="L403" i="2"/>
  <c r="L411" i="2"/>
  <c r="L419" i="2"/>
  <c r="L427" i="2"/>
  <c r="L435" i="2"/>
  <c r="L443" i="2"/>
  <c r="L451" i="2"/>
  <c r="L459" i="2"/>
  <c r="I471" i="2"/>
  <c r="M471" i="2"/>
  <c r="O471" i="2" s="1"/>
  <c r="A478" i="2"/>
  <c r="L478" i="2"/>
  <c r="J487" i="2"/>
  <c r="J494" i="2"/>
  <c r="I503" i="2"/>
  <c r="A503" i="2"/>
  <c r="M503" i="2"/>
  <c r="O503" i="2" s="1"/>
  <c r="A510" i="2"/>
  <c r="L510" i="2"/>
  <c r="J510" i="2"/>
  <c r="M596" i="2"/>
  <c r="O596" i="2" s="1"/>
  <c r="L596" i="2"/>
  <c r="J596" i="2"/>
  <c r="I596" i="2"/>
  <c r="A596" i="2"/>
  <c r="J610" i="2"/>
  <c r="I610" i="2"/>
  <c r="M610" i="2"/>
  <c r="O610" i="2" s="1"/>
  <c r="L610" i="2"/>
  <c r="A610" i="2"/>
  <c r="A493" i="2"/>
  <c r="M580" i="2"/>
  <c r="O580" i="2" s="1"/>
  <c r="A580" i="2"/>
  <c r="L580" i="2"/>
  <c r="J580" i="2"/>
  <c r="A479" i="2"/>
  <c r="I486" i="2"/>
  <c r="I487" i="2"/>
  <c r="M487" i="2"/>
  <c r="O487" i="2" s="1"/>
  <c r="I493" i="2"/>
  <c r="A494" i="2"/>
  <c r="L494" i="2"/>
  <c r="I502" i="2"/>
  <c r="I511" i="2"/>
  <c r="A511" i="2"/>
  <c r="M511" i="2"/>
  <c r="O511" i="2" s="1"/>
  <c r="L511" i="2"/>
  <c r="M607" i="2"/>
  <c r="O607" i="2" s="1"/>
  <c r="I607" i="2"/>
  <c r="L607" i="2"/>
  <c r="J607" i="2"/>
  <c r="A607" i="2"/>
  <c r="J518" i="2"/>
  <c r="J526" i="2"/>
  <c r="J534" i="2"/>
  <c r="J542" i="2"/>
  <c r="J550" i="2"/>
  <c r="J558" i="2"/>
  <c r="J566" i="2"/>
  <c r="J583" i="2"/>
  <c r="A584" i="2"/>
  <c r="J584" i="2"/>
  <c r="J590" i="2"/>
  <c r="I593" i="2"/>
  <c r="A593" i="2"/>
  <c r="L593" i="2"/>
  <c r="I601" i="2"/>
  <c r="A601" i="2"/>
  <c r="L601" i="2"/>
  <c r="M631" i="2"/>
  <c r="O631" i="2" s="1"/>
  <c r="J631" i="2"/>
  <c r="I631" i="2"/>
  <c r="I641" i="2"/>
  <c r="A641" i="2"/>
  <c r="M641" i="2"/>
  <c r="O641" i="2" s="1"/>
  <c r="L641" i="2"/>
  <c r="I649" i="2"/>
  <c r="A649" i="2"/>
  <c r="M649" i="2"/>
  <c r="O649" i="2" s="1"/>
  <c r="L649" i="2"/>
  <c r="I657" i="2"/>
  <c r="A657" i="2"/>
  <c r="M657" i="2"/>
  <c r="O657" i="2" s="1"/>
  <c r="L657" i="2"/>
  <c r="I665" i="2"/>
  <c r="A665" i="2"/>
  <c r="M665" i="2"/>
  <c r="O665" i="2" s="1"/>
  <c r="L665" i="2"/>
  <c r="I673" i="2"/>
  <c r="A673" i="2"/>
  <c r="M673" i="2"/>
  <c r="O673" i="2" s="1"/>
  <c r="L673" i="2"/>
  <c r="I681" i="2"/>
  <c r="A681" i="2"/>
  <c r="M681" i="2"/>
  <c r="O681" i="2" s="1"/>
  <c r="L681" i="2"/>
  <c r="I689" i="2"/>
  <c r="A689" i="2"/>
  <c r="M689" i="2"/>
  <c r="O689" i="2" s="1"/>
  <c r="L689" i="2"/>
  <c r="I697" i="2"/>
  <c r="A697" i="2"/>
  <c r="M697" i="2"/>
  <c r="O697" i="2" s="1"/>
  <c r="L697" i="2"/>
  <c r="I705" i="2"/>
  <c r="A705" i="2"/>
  <c r="M705" i="2"/>
  <c r="O705" i="2" s="1"/>
  <c r="L705" i="2"/>
  <c r="I713" i="2"/>
  <c r="A713" i="2"/>
  <c r="M713" i="2"/>
  <c r="O713" i="2" s="1"/>
  <c r="L713" i="2"/>
  <c r="I721" i="2"/>
  <c r="A721" i="2"/>
  <c r="M721" i="2"/>
  <c r="O721" i="2" s="1"/>
  <c r="L721" i="2"/>
  <c r="M731" i="2"/>
  <c r="O731" i="2" s="1"/>
  <c r="A731" i="2"/>
  <c r="L731" i="2"/>
  <c r="J731" i="2"/>
  <c r="A741" i="2"/>
  <c r="L741" i="2"/>
  <c r="J741" i="2"/>
  <c r="M741" i="2"/>
  <c r="O741" i="2" s="1"/>
  <c r="I741" i="2"/>
  <c r="I750" i="2"/>
  <c r="A750" i="2"/>
  <c r="M750" i="2"/>
  <c r="O750" i="2" s="1"/>
  <c r="L750" i="2"/>
  <c r="J750" i="2"/>
  <c r="I500" i="2"/>
  <c r="I508" i="2"/>
  <c r="I516" i="2"/>
  <c r="L518" i="2"/>
  <c r="I524" i="2"/>
  <c r="L526" i="2"/>
  <c r="I532" i="2"/>
  <c r="L534" i="2"/>
  <c r="I540" i="2"/>
  <c r="L542" i="2"/>
  <c r="I548" i="2"/>
  <c r="L550" i="2"/>
  <c r="I556" i="2"/>
  <c r="L558" i="2"/>
  <c r="I564" i="2"/>
  <c r="L566" i="2"/>
  <c r="I577" i="2"/>
  <c r="L577" i="2"/>
  <c r="L583" i="2"/>
  <c r="L590" i="2"/>
  <c r="M628" i="2"/>
  <c r="O628" i="2" s="1"/>
  <c r="L628" i="2"/>
  <c r="I628" i="2"/>
  <c r="I617" i="2"/>
  <c r="A617" i="2"/>
  <c r="M617" i="2"/>
  <c r="O617" i="2" s="1"/>
  <c r="L617" i="2"/>
  <c r="M636" i="2"/>
  <c r="O636" i="2" s="1"/>
  <c r="L636" i="2"/>
  <c r="I636" i="2"/>
  <c r="M644" i="2"/>
  <c r="O644" i="2" s="1"/>
  <c r="L644" i="2"/>
  <c r="J644" i="2"/>
  <c r="I644" i="2"/>
  <c r="M652" i="2"/>
  <c r="O652" i="2" s="1"/>
  <c r="L652" i="2"/>
  <c r="J652" i="2"/>
  <c r="I652" i="2"/>
  <c r="M660" i="2"/>
  <c r="O660" i="2" s="1"/>
  <c r="L660" i="2"/>
  <c r="J660" i="2"/>
  <c r="I660" i="2"/>
  <c r="M668" i="2"/>
  <c r="O668" i="2" s="1"/>
  <c r="L668" i="2"/>
  <c r="J668" i="2"/>
  <c r="I668" i="2"/>
  <c r="M676" i="2"/>
  <c r="O676" i="2" s="1"/>
  <c r="L676" i="2"/>
  <c r="J676" i="2"/>
  <c r="I676" i="2"/>
  <c r="M684" i="2"/>
  <c r="O684" i="2" s="1"/>
  <c r="L684" i="2"/>
  <c r="J684" i="2"/>
  <c r="I684" i="2"/>
  <c r="M692" i="2"/>
  <c r="O692" i="2" s="1"/>
  <c r="L692" i="2"/>
  <c r="J692" i="2"/>
  <c r="I692" i="2"/>
  <c r="M700" i="2"/>
  <c r="O700" i="2" s="1"/>
  <c r="L700" i="2"/>
  <c r="J700" i="2"/>
  <c r="I700" i="2"/>
  <c r="M708" i="2"/>
  <c r="O708" i="2" s="1"/>
  <c r="L708" i="2"/>
  <c r="J708" i="2"/>
  <c r="I708" i="2"/>
  <c r="M716" i="2"/>
  <c r="O716" i="2" s="1"/>
  <c r="L716" i="2"/>
  <c r="J716" i="2"/>
  <c r="I716" i="2"/>
  <c r="M724" i="2"/>
  <c r="O724" i="2" s="1"/>
  <c r="L724" i="2"/>
  <c r="J724" i="2"/>
  <c r="I724" i="2"/>
  <c r="A797" i="2"/>
  <c r="L797" i="2"/>
  <c r="J797" i="2"/>
  <c r="M797" i="2"/>
  <c r="O797" i="2" s="1"/>
  <c r="I797" i="2"/>
  <c r="M801" i="2"/>
  <c r="O801" i="2" s="1"/>
  <c r="L801" i="2"/>
  <c r="J801" i="2"/>
  <c r="I801" i="2"/>
  <c r="A801" i="2"/>
  <c r="I505" i="2"/>
  <c r="I513" i="2"/>
  <c r="I521" i="2"/>
  <c r="I529" i="2"/>
  <c r="I537" i="2"/>
  <c r="I545" i="2"/>
  <c r="I553" i="2"/>
  <c r="I561" i="2"/>
  <c r="I568" i="2"/>
  <c r="A576" i="2"/>
  <c r="J576" i="2"/>
  <c r="A591" i="2"/>
  <c r="A592" i="2"/>
  <c r="J592" i="2"/>
  <c r="J594" i="2"/>
  <c r="I594" i="2"/>
  <c r="M594" i="2"/>
  <c r="O594" i="2" s="1"/>
  <c r="A599" i="2"/>
  <c r="A600" i="2"/>
  <c r="J600" i="2"/>
  <c r="J602" i="2"/>
  <c r="I602" i="2"/>
  <c r="M602" i="2"/>
  <c r="O602" i="2" s="1"/>
  <c r="M612" i="2"/>
  <c r="O612" i="2" s="1"/>
  <c r="L612" i="2"/>
  <c r="I612" i="2"/>
  <c r="M615" i="2"/>
  <c r="O615" i="2" s="1"/>
  <c r="I615" i="2"/>
  <c r="I782" i="2"/>
  <c r="A782" i="2"/>
  <c r="M782" i="2"/>
  <c r="O782" i="2" s="1"/>
  <c r="L782" i="2"/>
  <c r="J782" i="2"/>
  <c r="I882" i="2"/>
  <c r="A882" i="2"/>
  <c r="M882" i="2"/>
  <c r="O882" i="2" s="1"/>
  <c r="L882" i="2"/>
  <c r="J882" i="2"/>
  <c r="M931" i="2"/>
  <c r="O931" i="2" s="1"/>
  <c r="J931" i="2"/>
  <c r="A931" i="2"/>
  <c r="L931" i="2"/>
  <c r="I931" i="2"/>
  <c r="J505" i="2"/>
  <c r="J513" i="2"/>
  <c r="J521" i="2"/>
  <c r="J529" i="2"/>
  <c r="J537" i="2"/>
  <c r="J545" i="2"/>
  <c r="J553" i="2"/>
  <c r="J561" i="2"/>
  <c r="J568" i="2"/>
  <c r="I569" i="2"/>
  <c r="L569" i="2"/>
  <c r="I584" i="2"/>
  <c r="I585" i="2"/>
  <c r="L585" i="2"/>
  <c r="J591" i="2"/>
  <c r="J599" i="2"/>
  <c r="I625" i="2"/>
  <c r="A625" i="2"/>
  <c r="M625" i="2"/>
  <c r="O625" i="2" s="1"/>
  <c r="L625" i="2"/>
  <c r="M745" i="2"/>
  <c r="O745" i="2" s="1"/>
  <c r="J745" i="2"/>
  <c r="L745" i="2"/>
  <c r="I745" i="2"/>
  <c r="I758" i="2"/>
  <c r="A758" i="2"/>
  <c r="M758" i="2"/>
  <c r="O758" i="2" s="1"/>
  <c r="L758" i="2"/>
  <c r="J758" i="2"/>
  <c r="A773" i="2"/>
  <c r="L773" i="2"/>
  <c r="J773" i="2"/>
  <c r="M773" i="2"/>
  <c r="O773" i="2" s="1"/>
  <c r="I773" i="2"/>
  <c r="M825" i="2"/>
  <c r="O825" i="2" s="1"/>
  <c r="L825" i="2"/>
  <c r="J825" i="2"/>
  <c r="I825" i="2"/>
  <c r="A825" i="2"/>
  <c r="L912" i="2"/>
  <c r="I912" i="2"/>
  <c r="J912" i="2"/>
  <c r="M912" i="2"/>
  <c r="O912" i="2" s="1"/>
  <c r="A912" i="2"/>
  <c r="L568" i="2"/>
  <c r="A577" i="2"/>
  <c r="J578" i="2"/>
  <c r="M578" i="2"/>
  <c r="O578" i="2" s="1"/>
  <c r="L584" i="2"/>
  <c r="L591" i="2"/>
  <c r="J593" i="2"/>
  <c r="L599" i="2"/>
  <c r="J601" i="2"/>
  <c r="M623" i="2"/>
  <c r="O623" i="2" s="1"/>
  <c r="J623" i="2"/>
  <c r="I623" i="2"/>
  <c r="A631" i="2"/>
  <c r="J727" i="2"/>
  <c r="A727" i="2"/>
  <c r="M727" i="2"/>
  <c r="O727" i="2" s="1"/>
  <c r="L727" i="2"/>
  <c r="J608" i="2"/>
  <c r="J616" i="2"/>
  <c r="M618" i="2"/>
  <c r="O618" i="2" s="1"/>
  <c r="J624" i="2"/>
  <c r="M626" i="2"/>
  <c r="O626" i="2" s="1"/>
  <c r="J632" i="2"/>
  <c r="M634" i="2"/>
  <c r="O634" i="2" s="1"/>
  <c r="I639" i="2"/>
  <c r="J640" i="2"/>
  <c r="M642" i="2"/>
  <c r="O642" i="2" s="1"/>
  <c r="I647" i="2"/>
  <c r="J648" i="2"/>
  <c r="M650" i="2"/>
  <c r="O650" i="2" s="1"/>
  <c r="I655" i="2"/>
  <c r="J656" i="2"/>
  <c r="M658" i="2"/>
  <c r="O658" i="2" s="1"/>
  <c r="I663" i="2"/>
  <c r="J664" i="2"/>
  <c r="M666" i="2"/>
  <c r="O666" i="2" s="1"/>
  <c r="I671" i="2"/>
  <c r="J672" i="2"/>
  <c r="M674" i="2"/>
  <c r="O674" i="2" s="1"/>
  <c r="I679" i="2"/>
  <c r="J680" i="2"/>
  <c r="M682" i="2"/>
  <c r="O682" i="2" s="1"/>
  <c r="I687" i="2"/>
  <c r="J688" i="2"/>
  <c r="M690" i="2"/>
  <c r="O690" i="2" s="1"/>
  <c r="I695" i="2"/>
  <c r="J696" i="2"/>
  <c r="M698" i="2"/>
  <c r="O698" i="2" s="1"/>
  <c r="I703" i="2"/>
  <c r="J704" i="2"/>
  <c r="M706" i="2"/>
  <c r="O706" i="2" s="1"/>
  <c r="I711" i="2"/>
  <c r="J712" i="2"/>
  <c r="M714" i="2"/>
  <c r="O714" i="2" s="1"/>
  <c r="I719" i="2"/>
  <c r="J720" i="2"/>
  <c r="M722" i="2"/>
  <c r="O722" i="2" s="1"/>
  <c r="A726" i="2"/>
  <c r="M739" i="2"/>
  <c r="O739" i="2" s="1"/>
  <c r="I739" i="2"/>
  <c r="A739" i="2"/>
  <c r="I766" i="2"/>
  <c r="A766" i="2"/>
  <c r="M766" i="2"/>
  <c r="O766" i="2" s="1"/>
  <c r="L766" i="2"/>
  <c r="A781" i="2"/>
  <c r="L781" i="2"/>
  <c r="J781" i="2"/>
  <c r="M809" i="2"/>
  <c r="O809" i="2" s="1"/>
  <c r="L809" i="2"/>
  <c r="J809" i="2"/>
  <c r="I822" i="2"/>
  <c r="A822" i="2"/>
  <c r="M822" i="2"/>
  <c r="O822" i="2" s="1"/>
  <c r="L822" i="2"/>
  <c r="M840" i="2"/>
  <c r="O840" i="2" s="1"/>
  <c r="L840" i="2"/>
  <c r="J840" i="2"/>
  <c r="I840" i="2"/>
  <c r="A857" i="2"/>
  <c r="I857" i="2"/>
  <c r="M857" i="2"/>
  <c r="O857" i="2" s="1"/>
  <c r="L857" i="2"/>
  <c r="M945" i="2"/>
  <c r="O945" i="2" s="1"/>
  <c r="L945" i="2"/>
  <c r="I945" i="2"/>
  <c r="A945" i="2"/>
  <c r="J945" i="2"/>
  <c r="J639" i="2"/>
  <c r="J647" i="2"/>
  <c r="J655" i="2"/>
  <c r="J663" i="2"/>
  <c r="J671" i="2"/>
  <c r="J679" i="2"/>
  <c r="J687" i="2"/>
  <c r="J695" i="2"/>
  <c r="J703" i="2"/>
  <c r="J711" i="2"/>
  <c r="J719" i="2"/>
  <c r="J726" i="2"/>
  <c r="I734" i="2"/>
  <c r="L734" i="2"/>
  <c r="I774" i="2"/>
  <c r="A774" i="2"/>
  <c r="M774" i="2"/>
  <c r="O774" i="2" s="1"/>
  <c r="L774" i="2"/>
  <c r="A789" i="2"/>
  <c r="L789" i="2"/>
  <c r="J789" i="2"/>
  <c r="M817" i="2"/>
  <c r="O817" i="2" s="1"/>
  <c r="L817" i="2"/>
  <c r="J817" i="2"/>
  <c r="J835" i="2"/>
  <c r="M835" i="2"/>
  <c r="O835" i="2" s="1"/>
  <c r="L835" i="2"/>
  <c r="I835" i="2"/>
  <c r="A835" i="2"/>
  <c r="A889" i="2"/>
  <c r="L889" i="2"/>
  <c r="M889" i="2"/>
  <c r="O889" i="2" s="1"/>
  <c r="J889" i="2"/>
  <c r="M726" i="2"/>
  <c r="O726" i="2" s="1"/>
  <c r="M753" i="2"/>
  <c r="O753" i="2" s="1"/>
  <c r="L753" i="2"/>
  <c r="J753" i="2"/>
  <c r="I790" i="2"/>
  <c r="A790" i="2"/>
  <c r="M790" i="2"/>
  <c r="O790" i="2" s="1"/>
  <c r="L790" i="2"/>
  <c r="A805" i="2"/>
  <c r="L805" i="2"/>
  <c r="J805" i="2"/>
  <c r="L884" i="2"/>
  <c r="J884" i="2"/>
  <c r="I884" i="2"/>
  <c r="M884" i="2"/>
  <c r="O884" i="2" s="1"/>
  <c r="A884" i="2"/>
  <c r="J927" i="2"/>
  <c r="M927" i="2"/>
  <c r="O927" i="2" s="1"/>
  <c r="I927" i="2"/>
  <c r="A927" i="2"/>
  <c r="L927" i="2"/>
  <c r="M969" i="2"/>
  <c r="O969" i="2" s="1"/>
  <c r="L969" i="2"/>
  <c r="J969" i="2"/>
  <c r="I969" i="2"/>
  <c r="A969" i="2"/>
  <c r="M761" i="2"/>
  <c r="O761" i="2" s="1"/>
  <c r="L761" i="2"/>
  <c r="J761" i="2"/>
  <c r="I798" i="2"/>
  <c r="A798" i="2"/>
  <c r="M798" i="2"/>
  <c r="O798" i="2" s="1"/>
  <c r="L798" i="2"/>
  <c r="A813" i="2"/>
  <c r="L813" i="2"/>
  <c r="J813" i="2"/>
  <c r="M831" i="2"/>
  <c r="O831" i="2" s="1"/>
  <c r="L831" i="2"/>
  <c r="J831" i="2"/>
  <c r="I831" i="2"/>
  <c r="M885" i="2"/>
  <c r="O885" i="2" s="1"/>
  <c r="L885" i="2"/>
  <c r="J885" i="2"/>
  <c r="I885" i="2"/>
  <c r="A885" i="2"/>
  <c r="J951" i="2"/>
  <c r="M951" i="2"/>
  <c r="O951" i="2" s="1"/>
  <c r="L951" i="2"/>
  <c r="A951" i="2"/>
  <c r="I951" i="2"/>
  <c r="I618" i="2"/>
  <c r="I626" i="2"/>
  <c r="I634" i="2"/>
  <c r="I642" i="2"/>
  <c r="I650" i="2"/>
  <c r="I658" i="2"/>
  <c r="I666" i="2"/>
  <c r="I674" i="2"/>
  <c r="I682" i="2"/>
  <c r="I690" i="2"/>
  <c r="I698" i="2"/>
  <c r="I706" i="2"/>
  <c r="I714" i="2"/>
  <c r="I722" i="2"/>
  <c r="A733" i="2"/>
  <c r="J733" i="2"/>
  <c r="I742" i="2"/>
  <c r="M742" i="2"/>
  <c r="O742" i="2" s="1"/>
  <c r="L742" i="2"/>
  <c r="A749" i="2"/>
  <c r="L749" i="2"/>
  <c r="J749" i="2"/>
  <c r="A757" i="2"/>
  <c r="L757" i="2"/>
  <c r="J757" i="2"/>
  <c r="M769" i="2"/>
  <c r="O769" i="2" s="1"/>
  <c r="L769" i="2"/>
  <c r="J769" i="2"/>
  <c r="M777" i="2"/>
  <c r="O777" i="2" s="1"/>
  <c r="L777" i="2"/>
  <c r="J777" i="2"/>
  <c r="I806" i="2"/>
  <c r="A806" i="2"/>
  <c r="M806" i="2"/>
  <c r="O806" i="2" s="1"/>
  <c r="L806" i="2"/>
  <c r="I990" i="2"/>
  <c r="M990" i="2"/>
  <c r="O990" i="2" s="1"/>
  <c r="J990" i="2"/>
  <c r="L990" i="2"/>
  <c r="A990" i="2"/>
  <c r="J728" i="2"/>
  <c r="A734" i="2"/>
  <c r="M737" i="2"/>
  <c r="O737" i="2" s="1"/>
  <c r="J737" i="2"/>
  <c r="J739" i="2"/>
  <c r="A765" i="2"/>
  <c r="L765" i="2"/>
  <c r="J765" i="2"/>
  <c r="I781" i="2"/>
  <c r="M785" i="2"/>
  <c r="O785" i="2" s="1"/>
  <c r="L785" i="2"/>
  <c r="J785" i="2"/>
  <c r="A809" i="2"/>
  <c r="I814" i="2"/>
  <c r="A814" i="2"/>
  <c r="M814" i="2"/>
  <c r="O814" i="2" s="1"/>
  <c r="L814" i="2"/>
  <c r="A821" i="2"/>
  <c r="L821" i="2"/>
  <c r="J821" i="2"/>
  <c r="A933" i="2"/>
  <c r="M933" i="2"/>
  <c r="O933" i="2" s="1"/>
  <c r="L933" i="2"/>
  <c r="I933" i="2"/>
  <c r="J933" i="2"/>
  <c r="M735" i="2"/>
  <c r="O735" i="2" s="1"/>
  <c r="M743" i="2"/>
  <c r="O743" i="2" s="1"/>
  <c r="A747" i="2"/>
  <c r="M751" i="2"/>
  <c r="O751" i="2" s="1"/>
  <c r="A755" i="2"/>
  <c r="M759" i="2"/>
  <c r="O759" i="2" s="1"/>
  <c r="A763" i="2"/>
  <c r="M767" i="2"/>
  <c r="O767" i="2" s="1"/>
  <c r="A771" i="2"/>
  <c r="M775" i="2"/>
  <c r="O775" i="2" s="1"/>
  <c r="A779" i="2"/>
  <c r="M783" i="2"/>
  <c r="O783" i="2" s="1"/>
  <c r="A787" i="2"/>
  <c r="M791" i="2"/>
  <c r="O791" i="2" s="1"/>
  <c r="A795" i="2"/>
  <c r="M799" i="2"/>
  <c r="O799" i="2" s="1"/>
  <c r="A803" i="2"/>
  <c r="M807" i="2"/>
  <c r="O807" i="2" s="1"/>
  <c r="A811" i="2"/>
  <c r="M815" i="2"/>
  <c r="O815" i="2" s="1"/>
  <c r="M823" i="2"/>
  <c r="O823" i="2" s="1"/>
  <c r="I828" i="2"/>
  <c r="L829" i="2"/>
  <c r="J833" i="2"/>
  <c r="M834" i="2"/>
  <c r="O834" i="2" s="1"/>
  <c r="I837" i="2"/>
  <c r="A844" i="2"/>
  <c r="M845" i="2"/>
  <c r="O845" i="2" s="1"/>
  <c r="L845" i="2"/>
  <c r="M849" i="2"/>
  <c r="O849" i="2" s="1"/>
  <c r="M861" i="2"/>
  <c r="O861" i="2" s="1"/>
  <c r="L861" i="2"/>
  <c r="J861" i="2"/>
  <c r="A865" i="2"/>
  <c r="L865" i="2"/>
  <c r="M893" i="2"/>
  <c r="O893" i="2" s="1"/>
  <c r="L893" i="2"/>
  <c r="J893" i="2"/>
  <c r="A897" i="2"/>
  <c r="L897" i="2"/>
  <c r="A917" i="2"/>
  <c r="M917" i="2"/>
  <c r="O917" i="2" s="1"/>
  <c r="L917" i="2"/>
  <c r="J917" i="2"/>
  <c r="I917" i="2"/>
  <c r="I747" i="2"/>
  <c r="I755" i="2"/>
  <c r="I763" i="2"/>
  <c r="I771" i="2"/>
  <c r="J828" i="2"/>
  <c r="L833" i="2"/>
  <c r="J837" i="2"/>
  <c r="I842" i="2"/>
  <c r="A842" i="2"/>
  <c r="J851" i="2"/>
  <c r="I851" i="2"/>
  <c r="A851" i="2"/>
  <c r="M853" i="2"/>
  <c r="O853" i="2" s="1"/>
  <c r="L853" i="2"/>
  <c r="J853" i="2"/>
  <c r="I874" i="2"/>
  <c r="A874" i="2"/>
  <c r="M874" i="2"/>
  <c r="O874" i="2" s="1"/>
  <c r="L876" i="2"/>
  <c r="J876" i="2"/>
  <c r="I876" i="2"/>
  <c r="L844" i="2"/>
  <c r="J844" i="2"/>
  <c r="I866" i="2"/>
  <c r="A866" i="2"/>
  <c r="M866" i="2"/>
  <c r="O866" i="2" s="1"/>
  <c r="L868" i="2"/>
  <c r="J868" i="2"/>
  <c r="I868" i="2"/>
  <c r="I898" i="2"/>
  <c r="A898" i="2"/>
  <c r="M898" i="2"/>
  <c r="O898" i="2" s="1"/>
  <c r="L900" i="2"/>
  <c r="J900" i="2"/>
  <c r="I900" i="2"/>
  <c r="A949" i="2"/>
  <c r="M949" i="2"/>
  <c r="O949" i="2" s="1"/>
  <c r="J949" i="2"/>
  <c r="L949" i="2"/>
  <c r="J999" i="2"/>
  <c r="M999" i="2"/>
  <c r="O999" i="2" s="1"/>
  <c r="L999" i="2"/>
  <c r="I999" i="2"/>
  <c r="A735" i="2"/>
  <c r="I736" i="2"/>
  <c r="A743" i="2"/>
  <c r="I744" i="2"/>
  <c r="A751" i="2"/>
  <c r="I752" i="2"/>
  <c r="A759" i="2"/>
  <c r="A767" i="2"/>
  <c r="A775" i="2"/>
  <c r="A783" i="2"/>
  <c r="A791" i="2"/>
  <c r="A799" i="2"/>
  <c r="I800" i="2"/>
  <c r="A807" i="2"/>
  <c r="I808" i="2"/>
  <c r="A815" i="2"/>
  <c r="I816" i="2"/>
  <c r="A823" i="2"/>
  <c r="I824" i="2"/>
  <c r="M877" i="2"/>
  <c r="O877" i="2" s="1"/>
  <c r="L877" i="2"/>
  <c r="J877" i="2"/>
  <c r="A881" i="2"/>
  <c r="L881" i="2"/>
  <c r="M907" i="2"/>
  <c r="O907" i="2" s="1"/>
  <c r="L907" i="2"/>
  <c r="J907" i="2"/>
  <c r="I907" i="2"/>
  <c r="L920" i="2"/>
  <c r="I920" i="2"/>
  <c r="M920" i="2"/>
  <c r="O920" i="2" s="1"/>
  <c r="J920" i="2"/>
  <c r="A920" i="2"/>
  <c r="L928" i="2"/>
  <c r="M928" i="2"/>
  <c r="O928" i="2" s="1"/>
  <c r="J928" i="2"/>
  <c r="A928" i="2"/>
  <c r="M977" i="2"/>
  <c r="O977" i="2" s="1"/>
  <c r="L977" i="2"/>
  <c r="I977" i="2"/>
  <c r="A977" i="2"/>
  <c r="A988" i="2"/>
  <c r="M988" i="2"/>
  <c r="O988" i="2" s="1"/>
  <c r="L988" i="2"/>
  <c r="J988" i="2"/>
  <c r="I988" i="2"/>
  <c r="I775" i="2"/>
  <c r="I783" i="2"/>
  <c r="I791" i="2"/>
  <c r="I799" i="2"/>
  <c r="I807" i="2"/>
  <c r="I815" i="2"/>
  <c r="I823" i="2"/>
  <c r="J824" i="2"/>
  <c r="A829" i="2"/>
  <c r="A834" i="2"/>
  <c r="A845" i="2"/>
  <c r="I849" i="2"/>
  <c r="I850" i="2"/>
  <c r="A850" i="2"/>
  <c r="L852" i="2"/>
  <c r="J852" i="2"/>
  <c r="I852" i="2"/>
  <c r="I858" i="2"/>
  <c r="A858" i="2"/>
  <c r="M858" i="2"/>
  <c r="O858" i="2" s="1"/>
  <c r="L860" i="2"/>
  <c r="J860" i="2"/>
  <c r="I860" i="2"/>
  <c r="I865" i="2"/>
  <c r="I890" i="2"/>
  <c r="A890" i="2"/>
  <c r="M890" i="2"/>
  <c r="O890" i="2" s="1"/>
  <c r="L892" i="2"/>
  <c r="J892" i="2"/>
  <c r="I892" i="2"/>
  <c r="I897" i="2"/>
  <c r="M923" i="2"/>
  <c r="O923" i="2" s="1"/>
  <c r="J923" i="2"/>
  <c r="I923" i="2"/>
  <c r="L923" i="2"/>
  <c r="M972" i="2"/>
  <c r="O972" i="2" s="1"/>
  <c r="J972" i="2"/>
  <c r="A972" i="2"/>
  <c r="L972" i="2"/>
  <c r="I972" i="2"/>
  <c r="I829" i="2"/>
  <c r="J834" i="2"/>
  <c r="J842" i="2"/>
  <c r="J843" i="2"/>
  <c r="I843" i="2"/>
  <c r="I845" i="2"/>
  <c r="J849" i="2"/>
  <c r="A861" i="2"/>
  <c r="J865" i="2"/>
  <c r="M869" i="2"/>
  <c r="O869" i="2" s="1"/>
  <c r="L869" i="2"/>
  <c r="J869" i="2"/>
  <c r="A873" i="2"/>
  <c r="L873" i="2"/>
  <c r="A893" i="2"/>
  <c r="J897" i="2"/>
  <c r="M901" i="2"/>
  <c r="O901" i="2" s="1"/>
  <c r="L901" i="2"/>
  <c r="J901" i="2"/>
  <c r="A905" i="2"/>
  <c r="L905" i="2"/>
  <c r="M921" i="2"/>
  <c r="O921" i="2" s="1"/>
  <c r="J921" i="2"/>
  <c r="A921" i="2"/>
  <c r="L921" i="2"/>
  <c r="J935" i="2"/>
  <c r="M935" i="2"/>
  <c r="O935" i="2" s="1"/>
  <c r="I935" i="2"/>
  <c r="A935" i="2"/>
  <c r="M953" i="2"/>
  <c r="O953" i="2" s="1"/>
  <c r="L953" i="2"/>
  <c r="I953" i="2"/>
  <c r="A953" i="2"/>
  <c r="A941" i="2"/>
  <c r="M941" i="2"/>
  <c r="O941" i="2" s="1"/>
  <c r="J941" i="2"/>
  <c r="I941" i="2"/>
  <c r="A947" i="2"/>
  <c r="M947" i="2"/>
  <c r="O947" i="2" s="1"/>
  <c r="L947" i="2"/>
  <c r="J959" i="2"/>
  <c r="M959" i="2"/>
  <c r="O959" i="2" s="1"/>
  <c r="I959" i="2"/>
  <c r="A959" i="2"/>
  <c r="A965" i="2"/>
  <c r="M965" i="2"/>
  <c r="O965" i="2" s="1"/>
  <c r="L965" i="2"/>
  <c r="J967" i="2"/>
  <c r="M967" i="2"/>
  <c r="O967" i="2" s="1"/>
  <c r="I967" i="2"/>
  <c r="J983" i="2"/>
  <c r="M983" i="2"/>
  <c r="O983" i="2" s="1"/>
  <c r="L983" i="2"/>
  <c r="M985" i="2"/>
  <c r="O985" i="2" s="1"/>
  <c r="L985" i="2"/>
  <c r="I985" i="2"/>
  <c r="A997" i="2"/>
  <c r="M997" i="2"/>
  <c r="O997" i="2" s="1"/>
  <c r="L997" i="2"/>
  <c r="A973" i="2"/>
  <c r="M973" i="2"/>
  <c r="O973" i="2" s="1"/>
  <c r="J973" i="2"/>
  <c r="I973" i="2"/>
  <c r="A979" i="2"/>
  <c r="M979" i="2"/>
  <c r="O979" i="2" s="1"/>
  <c r="L979" i="2"/>
  <c r="L1008" i="2"/>
  <c r="M1008" i="2"/>
  <c r="O1008" i="2" s="1"/>
  <c r="J1008" i="2"/>
  <c r="I1008" i="2"/>
  <c r="L936" i="2"/>
  <c r="M936" i="2"/>
  <c r="O936" i="2" s="1"/>
  <c r="I936" i="2"/>
  <c r="A936" i="2"/>
  <c r="M955" i="2"/>
  <c r="O955" i="2" s="1"/>
  <c r="J955" i="2"/>
  <c r="I955" i="2"/>
  <c r="M963" i="2"/>
  <c r="O963" i="2" s="1"/>
  <c r="J963" i="2"/>
  <c r="A963" i="2"/>
  <c r="A981" i="2"/>
  <c r="M981" i="2"/>
  <c r="O981" i="2" s="1"/>
  <c r="J981" i="2"/>
  <c r="M995" i="2"/>
  <c r="O995" i="2" s="1"/>
  <c r="L995" i="2"/>
  <c r="J995" i="2"/>
  <c r="A995" i="2"/>
  <c r="I1006" i="2"/>
  <c r="M1006" i="2"/>
  <c r="O1006" i="2" s="1"/>
  <c r="L1006" i="2"/>
  <c r="A859" i="2"/>
  <c r="A867" i="2"/>
  <c r="A875" i="2"/>
  <c r="A883" i="2"/>
  <c r="A891" i="2"/>
  <c r="A899" i="2"/>
  <c r="I942" i="2"/>
  <c r="M942" i="2"/>
  <c r="O942" i="2" s="1"/>
  <c r="L942" i="2"/>
  <c r="L944" i="2"/>
  <c r="M944" i="2"/>
  <c r="O944" i="2" s="1"/>
  <c r="I944" i="2"/>
  <c r="L960" i="2"/>
  <c r="M960" i="2"/>
  <c r="O960" i="2" s="1"/>
  <c r="J960" i="2"/>
  <c r="L968" i="2"/>
  <c r="M968" i="2"/>
  <c r="O968" i="2" s="1"/>
  <c r="I968" i="2"/>
  <c r="A968" i="2"/>
  <c r="M987" i="2"/>
  <c r="O987" i="2" s="1"/>
  <c r="J987" i="2"/>
  <c r="I987" i="2"/>
  <c r="I859" i="2"/>
  <c r="I867" i="2"/>
  <c r="I875" i="2"/>
  <c r="I883" i="2"/>
  <c r="I891" i="2"/>
  <c r="I899" i="2"/>
  <c r="A906" i="2"/>
  <c r="A924" i="2"/>
  <c r="M924" i="2"/>
  <c r="O924" i="2" s="1"/>
  <c r="L924" i="2"/>
  <c r="I926" i="2"/>
  <c r="M926" i="2"/>
  <c r="O926" i="2" s="1"/>
  <c r="J926" i="2"/>
  <c r="M932" i="2"/>
  <c r="O932" i="2" s="1"/>
  <c r="J932" i="2"/>
  <c r="I932" i="2"/>
  <c r="I950" i="2"/>
  <c r="M950" i="2"/>
  <c r="O950" i="2" s="1"/>
  <c r="J950" i="2"/>
  <c r="A950" i="2"/>
  <c r="I974" i="2"/>
  <c r="M974" i="2"/>
  <c r="O974" i="2" s="1"/>
  <c r="L974" i="2"/>
  <c r="L976" i="2"/>
  <c r="M976" i="2"/>
  <c r="O976" i="2" s="1"/>
  <c r="I976" i="2"/>
  <c r="L992" i="2"/>
  <c r="M992" i="2"/>
  <c r="O992" i="2" s="1"/>
  <c r="J992" i="2"/>
  <c r="M1004" i="2"/>
  <c r="O1004" i="2" s="1"/>
  <c r="L1004" i="2"/>
  <c r="J1004" i="2"/>
  <c r="A1004" i="2"/>
  <c r="I906" i="2"/>
  <c r="M913" i="2"/>
  <c r="O913" i="2" s="1"/>
  <c r="J913" i="2"/>
  <c r="A913" i="2"/>
  <c r="M915" i="2"/>
  <c r="O915" i="2" s="1"/>
  <c r="J915" i="2"/>
  <c r="I915" i="2"/>
  <c r="M937" i="2"/>
  <c r="O937" i="2" s="1"/>
  <c r="L937" i="2"/>
  <c r="J937" i="2"/>
  <c r="M940" i="2"/>
  <c r="O940" i="2" s="1"/>
  <c r="J940" i="2"/>
  <c r="A940" i="2"/>
  <c r="A956" i="2"/>
  <c r="M956" i="2"/>
  <c r="O956" i="2" s="1"/>
  <c r="L956" i="2"/>
  <c r="I958" i="2"/>
  <c r="M958" i="2"/>
  <c r="O958" i="2" s="1"/>
  <c r="J958" i="2"/>
  <c r="M964" i="2"/>
  <c r="O964" i="2" s="1"/>
  <c r="J964" i="2"/>
  <c r="I964" i="2"/>
  <c r="I982" i="2"/>
  <c r="M982" i="2"/>
  <c r="O982" i="2" s="1"/>
  <c r="J982" i="2"/>
  <c r="A982" i="2"/>
  <c r="M1001" i="2"/>
  <c r="O1001" i="2" s="1"/>
  <c r="L1001" i="2"/>
  <c r="J1001" i="2"/>
  <c r="A914" i="2"/>
  <c r="A922" i="2"/>
  <c r="A991" i="2"/>
  <c r="I996" i="2"/>
  <c r="A1000" i="2"/>
  <c r="I1005" i="2"/>
  <c r="I914" i="2"/>
  <c r="I922" i="2"/>
  <c r="I991" i="2"/>
  <c r="J996" i="2"/>
  <c r="I1000" i="2"/>
  <c r="J1005" i="2"/>
  <c r="A911" i="2"/>
  <c r="M991" i="2"/>
  <c r="O991" i="2" s="1"/>
  <c r="M1000" i="2"/>
  <c r="O1000" i="2" s="1"/>
  <c r="M1005" i="2"/>
  <c r="O1005" i="2" s="1"/>
  <c r="O37" i="2" l="1"/>
  <c r="L37" i="2"/>
  <c r="L12" i="2"/>
  <c r="O20" i="2"/>
  <c r="K5" i="2"/>
  <c r="D45" i="3" s="1"/>
  <c r="E45" i="3" s="1"/>
  <c r="L11" i="2"/>
  <c r="O19" i="2"/>
  <c r="C45" i="3"/>
  <c r="C6" i="3"/>
  <c r="D6" i="3"/>
  <c r="E6" i="3" s="1"/>
  <c r="O30" i="2"/>
  <c r="L30" i="2"/>
  <c r="O13" i="2"/>
  <c r="O25" i="2"/>
  <c r="O14" i="2"/>
  <c r="O32" i="2"/>
  <c r="L32" i="2"/>
  <c r="O29" i="2"/>
  <c r="L29" i="2"/>
  <c r="O26" i="2"/>
  <c r="O23" i="2"/>
  <c r="O18" i="2"/>
  <c r="O28" i="2"/>
  <c r="O34" i="2"/>
  <c r="O22" i="2"/>
  <c r="L22" i="2"/>
  <c r="D5" i="3"/>
  <c r="E5" i="3" s="1"/>
  <c r="C5" i="3"/>
  <c r="O31" i="2"/>
  <c r="L14" i="2"/>
  <c r="L6" i="2" s="1"/>
  <c r="O24" i="2"/>
  <c r="L24" i="2"/>
  <c r="O27" i="2"/>
  <c r="O15" i="2"/>
  <c r="L19" i="2"/>
  <c r="B7" i="3" l="1"/>
  <c r="O16" i="2"/>
  <c r="O33" i="2"/>
  <c r="C7" i="3" l="1"/>
  <c r="D7" i="3"/>
  <c r="E7" i="3" s="1"/>
  <c r="B15" i="3"/>
  <c r="B20" i="3"/>
  <c r="O35" i="2"/>
  <c r="B25" i="3" s="1"/>
  <c r="B44" i="3"/>
  <c r="B8" i="3"/>
  <c r="E25" i="3" l="1"/>
  <c r="D25" i="3"/>
  <c r="C25" i="3"/>
  <c r="B34" i="3"/>
  <c r="E15" i="3"/>
  <c r="C15" i="3"/>
  <c r="D15" i="3"/>
  <c r="B14" i="3"/>
  <c r="B28" i="3"/>
  <c r="B35" i="3"/>
  <c r="D8" i="3"/>
  <c r="E8" i="3" s="1"/>
  <c r="C8" i="3"/>
  <c r="B31" i="3"/>
  <c r="B11" i="3"/>
  <c r="B30" i="3"/>
  <c r="B37" i="3"/>
  <c r="B36" i="3"/>
  <c r="B19" i="3"/>
  <c r="B27" i="3"/>
  <c r="B17" i="3"/>
  <c r="B38" i="3"/>
  <c r="B41" i="3"/>
  <c r="B26" i="3"/>
  <c r="B39" i="3"/>
  <c r="B21" i="3"/>
  <c r="B16" i="3"/>
  <c r="B32" i="3"/>
  <c r="B29" i="3"/>
  <c r="B42" i="3"/>
  <c r="B9" i="3"/>
  <c r="B33" i="3"/>
  <c r="B23" i="3"/>
  <c r="B13" i="3"/>
  <c r="B40" i="3"/>
  <c r="B24" i="3"/>
  <c r="B12" i="3"/>
  <c r="B22" i="3"/>
  <c r="B18" i="3"/>
  <c r="B43" i="3"/>
  <c r="E20" i="3"/>
  <c r="D20" i="3"/>
  <c r="C20" i="3"/>
  <c r="B10" i="3"/>
  <c r="E44" i="3"/>
  <c r="D44" i="3"/>
  <c r="C44" i="3"/>
  <c r="E23" i="3" l="1"/>
  <c r="C23" i="3"/>
  <c r="D23" i="3"/>
  <c r="E33" i="3"/>
  <c r="D33" i="3"/>
  <c r="C33" i="3"/>
  <c r="E14" i="3"/>
  <c r="C14" i="3"/>
  <c r="D14" i="3"/>
  <c r="E18" i="3"/>
  <c r="D18" i="3"/>
  <c r="C18" i="3"/>
  <c r="D9" i="3"/>
  <c r="E9" i="3" s="1"/>
  <c r="C9" i="3"/>
  <c r="E41" i="3"/>
  <c r="D41" i="3"/>
  <c r="C41" i="3"/>
  <c r="E11" i="3"/>
  <c r="D11" i="3"/>
  <c r="C11" i="3"/>
  <c r="E39" i="3"/>
  <c r="C39" i="3"/>
  <c r="D39" i="3"/>
  <c r="E26" i="3"/>
  <c r="D26" i="3"/>
  <c r="C26" i="3"/>
  <c r="C22" i="3"/>
  <c r="E22" i="3"/>
  <c r="D22" i="3"/>
  <c r="E42" i="3"/>
  <c r="D42" i="3"/>
  <c r="C42" i="3"/>
  <c r="C38" i="3"/>
  <c r="E38" i="3"/>
  <c r="D38" i="3"/>
  <c r="E31" i="3"/>
  <c r="C31" i="3"/>
  <c r="D31" i="3"/>
  <c r="E43" i="3"/>
  <c r="D43" i="3"/>
  <c r="C43" i="3"/>
  <c r="E30" i="3"/>
  <c r="C30" i="3"/>
  <c r="D30" i="3"/>
  <c r="E12" i="3"/>
  <c r="D12" i="3"/>
  <c r="C12" i="3"/>
  <c r="E29" i="3"/>
  <c r="D29" i="3"/>
  <c r="C29" i="3"/>
  <c r="E17" i="3"/>
  <c r="D17" i="3"/>
  <c r="C17" i="3"/>
  <c r="D24" i="3"/>
  <c r="C24" i="3"/>
  <c r="E24" i="3"/>
  <c r="D32" i="3"/>
  <c r="C32" i="3"/>
  <c r="E32" i="3"/>
  <c r="E27" i="3"/>
  <c r="D27" i="3"/>
  <c r="C27" i="3"/>
  <c r="E34" i="3"/>
  <c r="D34" i="3"/>
  <c r="C34" i="3"/>
  <c r="E10" i="3"/>
  <c r="D10" i="3"/>
  <c r="C10" i="3"/>
  <c r="D16" i="3"/>
  <c r="C16" i="3"/>
  <c r="E16" i="3"/>
  <c r="E19" i="3"/>
  <c r="D19" i="3"/>
  <c r="C19" i="3"/>
  <c r="D40" i="3"/>
  <c r="C40" i="3"/>
  <c r="E40" i="3"/>
  <c r="E13" i="3"/>
  <c r="D13" i="3"/>
  <c r="C13" i="3"/>
  <c r="E21" i="3"/>
  <c r="D21" i="3"/>
  <c r="C21" i="3"/>
  <c r="E36" i="3"/>
  <c r="D36" i="3"/>
  <c r="C36" i="3"/>
  <c r="E35" i="3"/>
  <c r="D35" i="3"/>
  <c r="C35" i="3"/>
  <c r="E37" i="3"/>
  <c r="D37" i="3"/>
  <c r="C37" i="3"/>
  <c r="E28" i="3"/>
  <c r="D28" i="3"/>
  <c r="C28" i="3"/>
</calcChain>
</file>

<file path=xl/sharedStrings.xml><?xml version="1.0" encoding="utf-8"?>
<sst xmlns="http://schemas.openxmlformats.org/spreadsheetml/2006/main" count="249" uniqueCount="158">
  <si>
    <t>CÓMO COMPLETAR LA PLANTILLA DE PRESUPUESTO</t>
  </si>
  <si>
    <t>Se completa en la hoja «Presupuesto». Al terminar se importa desde el sistema: Presupuestos → 📥 Importar desde Excel.</t>
  </si>
  <si>
    <t>1</t>
  </si>
  <si>
    <t>Arriba: Obra, Descripción, Fecha, Elaboró y el Sector general (si todo el presupuesto es de un mismo sector).</t>
  </si>
  <si>
    <t>2</t>
  </si>
  <si>
    <t>COPIAR Y PEGAR DESDE OTRA PLANILLA: copiá juntas las columnas Descripción · Unidad · Cantidad · M. obra · Material (en ese orden) y pegá con un clic en la celda D9.</t>
  </si>
  <si>
    <t>3</t>
  </si>
  <si>
    <t>Podés pegar también las filas de título de capítulo (ej. «MAMPOSTERÍA»): se reconocen solas, no suman, y las filas de abajo toman ese capítulo.</t>
  </si>
  <si>
    <t>4</t>
  </si>
  <si>
    <t>Si una cantidad o un precio sale mal después de pegar, pegá de nuevo con Ctrl + Shift + V → «Valores».</t>
  </si>
  <si>
    <t>5</t>
  </si>
  <si>
    <t>También se puede cargar a mano: una fila por trabajo. La Cantidad acepta la medición como fórmula. Ej.: =4,5*3+1,96*3</t>
  </si>
  <si>
    <t>6</t>
  </si>
  <si>
    <t>El Costo unitario, el Parcial, el N° y el Total se calculan solos (columnas grises).</t>
  </si>
  <si>
    <t>7</t>
  </si>
  <si>
    <t>Mirá arriba a la derecha: tiene que decir «✓ Todo OK». Si dice «N fila(s) a revisar», buscá en la columna Control las filas en rojo.</t>
  </si>
  <si>
    <t>8</t>
  </si>
  <si>
    <t>No cambies los títulos ni el orden de las columnas: el sistema los usa para importar.</t>
  </si>
  <si>
    <t>Leyenda</t>
  </si>
  <si>
    <t>Amarillo: lo completa o pega el residente</t>
  </si>
  <si>
    <t>Gris: se calcula solo, no se toca</t>
  </si>
  <si>
    <t>«Título de capítulo»: fila de título, no suma</t>
  </si>
  <si>
    <t>Ejemplo</t>
  </si>
  <si>
    <t>La hoja «Presupuesto» trae cargado el Presupuesto 68 (Nivel 3 · Edificio Orquídeas). Para uno nuevo, borrá las celdas amarillas (seleccioná B9:K1008 → Suprimir) y pegá o cargá el tuyo.</t>
  </si>
  <si>
    <t>Resumen elaborado por Conexdata</t>
  </si>
  <si>
    <t>PRESUPUESTO DE OBRA</t>
  </si>
  <si>
    <t>Completá o pegá en las celdas amarillas · una fila por trabajo · lo gris se calcula solo</t>
  </si>
  <si>
    <t>Obra</t>
  </si>
  <si>
    <t>EDIFICIO ORQUÍDEAS</t>
  </si>
  <si>
    <t>Fecha</t>
  </si>
  <si>
    <t>22/06/2026</t>
  </si>
  <si>
    <t>TOTAL DEL PRESUPUESTO</t>
  </si>
  <si>
    <t>Trabajos</t>
  </si>
  <si>
    <t>Descripción</t>
  </si>
  <si>
    <t>Presupuesto 68 · Nivel 3</t>
  </si>
  <si>
    <t>Elaboró</t>
  </si>
  <si>
    <t>Ing. Azucena</t>
  </si>
  <si>
    <t>Sector general</t>
  </si>
  <si>
    <t>Nivel 3</t>
  </si>
  <si>
    <t>← se usa en las filas sin sector</t>
  </si>
  <si>
    <t>N°</t>
  </si>
  <si>
    <t>Sector</t>
  </si>
  <si>
    <t>Capítulo</t>
  </si>
  <si>
    <t>Descripción del trabajo</t>
  </si>
  <si>
    <t>Unidad</t>
  </si>
  <si>
    <t>Cantidad</t>
  </si>
  <si>
    <t>M. obra
₲ / unidad</t>
  </si>
  <si>
    <t>Material
₲ / unidad</t>
  </si>
  <si>
    <t>Costo unit.
₲ / unidad</t>
  </si>
  <si>
    <t>Parcial ₲</t>
  </si>
  <si>
    <t>Observación (opcional)</t>
  </si>
  <si>
    <t>Control</t>
  </si>
  <si>
    <t>cap</t>
  </si>
  <si>
    <t>tipo</t>
  </si>
  <si>
    <t>PRELIMINARES</t>
  </si>
  <si>
    <t>Marcación y replanteo Piso 3</t>
  </si>
  <si>
    <t>m2</t>
  </si>
  <si>
    <t>Demolición de mampostería de 0.15m de ladrillo hueco</t>
  </si>
  <si>
    <t>MAMPOSTERÍA</t>
  </si>
  <si>
    <t>Mampostería de 0,20m hueco</t>
  </si>
  <si>
    <t>Mampostería de encuñamiento</t>
  </si>
  <si>
    <t>ml</t>
  </si>
  <si>
    <t>Envarillado de amarre de muros con pilares y esquinas</t>
  </si>
  <si>
    <t>m</t>
  </si>
  <si>
    <t>Anclaje de varillas al H° existente, paquete de 4 varillas</t>
  </si>
  <si>
    <t>un</t>
  </si>
  <si>
    <t>Relleno de losa rebajada con ladrillo hueco</t>
  </si>
  <si>
    <t>REVOQUES</t>
  </si>
  <si>
    <t>Salpicado de ladrillos huecos con hidrofugo</t>
  </si>
  <si>
    <t>Revoques de muros de ladrillos huecos con hidrofugo</t>
  </si>
  <si>
    <t>Demolición de mamposteria de durlock</t>
  </si>
  <si>
    <t>Demolición de revoque viejo de mamposteria</t>
  </si>
  <si>
    <t>Salpicado de cielorraso de losa con hidrófugo</t>
  </si>
  <si>
    <t>Revoque de cielorraso de losa con hidrófugo a dos capas</t>
  </si>
  <si>
    <t>Demolición de revoque viejo de losa</t>
  </si>
  <si>
    <t>Revoque de mochetas en vigas</t>
  </si>
  <si>
    <t>Demolición de revoque viejo en vigas 3 caras</t>
  </si>
  <si>
    <t>Revoque de mocheta en Pilares (menor a 40 cm)</t>
  </si>
  <si>
    <t>Revoque de mocheta en Pilares (mayor a 40 cm)</t>
  </si>
  <si>
    <t>Demolición de revoque viejo en pilares (menor a 40cm)</t>
  </si>
  <si>
    <t>Demolición de revoque viejo en pilares (mayor a 40cm)</t>
  </si>
  <si>
    <t>Revoque de muros externos lado fachada</t>
  </si>
  <si>
    <t>Prolijado de escalera de hormigón de paso a edificio Neider</t>
  </si>
  <si>
    <t>gl</t>
  </si>
  <si>
    <t>Buña en revoque exterior de fachada</t>
  </si>
  <si>
    <t>Metal desplegado en unión de Hormigón con mampostería</t>
  </si>
  <si>
    <t>CONTRAPISOS Y CARPETAS</t>
  </si>
  <si>
    <t>Contrapiso</t>
  </si>
  <si>
    <t>Carpeta con hidrófugo</t>
  </si>
  <si>
    <t>AYUDA DE GREMIOS</t>
  </si>
  <si>
    <t>Acarreo y retiro de escombros</t>
  </si>
  <si>
    <t>m3</t>
  </si>
  <si>
    <t>Acarreo y transporte de sobrantes basuras y otros</t>
  </si>
  <si>
    <t>viaje</t>
  </si>
  <si>
    <t>Alquiler de andamios</t>
  </si>
  <si>
    <t>RESUMEN POR CAPÍTULO</t>
  </si>
  <si>
    <t>%</t>
  </si>
  <si>
    <t>TOTAL</t>
  </si>
  <si>
    <t>Unidades</t>
  </si>
  <si>
    <t>Capítulos</t>
  </si>
  <si>
    <t>Sectores</t>
  </si>
  <si>
    <t>Variantes aceptadas</t>
  </si>
  <si>
    <t>Planta baja</t>
  </si>
  <si>
    <t>M2</t>
  </si>
  <si>
    <t>DEMOLICIONES</t>
  </si>
  <si>
    <t>Subsuelo</t>
  </si>
  <si>
    <t>m²</t>
  </si>
  <si>
    <t>Nivel 1</t>
  </si>
  <si>
    <t>mts2</t>
  </si>
  <si>
    <t>ESTRUCTURA DE HORMIGÓN</t>
  </si>
  <si>
    <t>Nivel 2</t>
  </si>
  <si>
    <t>ML</t>
  </si>
  <si>
    <t>mts</t>
  </si>
  <si>
    <t>Nivel 4</t>
  </si>
  <si>
    <t>mt</t>
  </si>
  <si>
    <t>kg</t>
  </si>
  <si>
    <t>PISOS Y REVESTIMIENTOS</t>
  </si>
  <si>
    <t>Nivel 5</t>
  </si>
  <si>
    <t>M3</t>
  </si>
  <si>
    <t>CIELORRASOS</t>
  </si>
  <si>
    <t>Nivel 6</t>
  </si>
  <si>
    <t>m³</t>
  </si>
  <si>
    <t>mes</t>
  </si>
  <si>
    <t>PINTURA</t>
  </si>
  <si>
    <t>Nivel 7</t>
  </si>
  <si>
    <t>Unid.</t>
  </si>
  <si>
    <t>día</t>
  </si>
  <si>
    <t>ABERTURAS</t>
  </si>
  <si>
    <t>Nivel 8</t>
  </si>
  <si>
    <t>unid</t>
  </si>
  <si>
    <t>jor</t>
  </si>
  <si>
    <t>INSTALACIÓN SANITARIA</t>
  </si>
  <si>
    <t>Terraza</t>
  </si>
  <si>
    <t>unid.</t>
  </si>
  <si>
    <t>hs</t>
  </si>
  <si>
    <t>INSTALACIÓN ELÉCTRICA</t>
  </si>
  <si>
    <t>Fachada</t>
  </si>
  <si>
    <t>u</t>
  </si>
  <si>
    <t>IMPERMEABILIZACIÓN</t>
  </si>
  <si>
    <t>General</t>
  </si>
  <si>
    <t>und</t>
  </si>
  <si>
    <t>uni</t>
  </si>
  <si>
    <t>LIMPIEZA Y VARIOS</t>
  </si>
  <si>
    <t>gb</t>
  </si>
  <si>
    <t>glb</t>
  </si>
  <si>
    <t>global</t>
  </si>
  <si>
    <t>viajes</t>
  </si>
  <si>
    <t>dia</t>
  </si>
  <si>
    <t>dias</t>
  </si>
  <si>
    <t>días</t>
  </si>
  <si>
    <t>jornal</t>
  </si>
  <si>
    <t>jornales</t>
  </si>
  <si>
    <t>hora</t>
  </si>
  <si>
    <t>horas</t>
  </si>
  <si>
    <t>meses</t>
  </si>
  <si>
    <t>kgs</t>
  </si>
  <si>
    <t>pza</t>
  </si>
  <si>
    <t>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</si>
</sst>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₲ &quot;#,##0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color rgb="FF5A6272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7"/>
      <color rgb="FF8893A5"/>
      <name val="Arial"/>
      <charset val="1"/>
    </font>
    <font>
      <b/>
      <sz val="16"/>
      <color rgb="FF1F3864"/>
      <name val="Arial"/>
      <charset val="1"/>
    </font>
    <font>
      <i/>
      <sz val="9"/>
      <color rgb="FF5A6272"/>
      <name val="Arial"/>
      <charset val="1"/>
    </font>
    <font>
      <b/>
      <sz val="10"/>
      <color rgb="FF1F3864"/>
      <name val="Arial"/>
      <charset val="1"/>
    </font>
    <font>
      <b/>
      <sz val="9"/>
      <color rgb="FFFFFFFF"/>
      <name val="Arial"/>
      <charset val="1"/>
    </font>
    <font>
      <b/>
      <sz val="13"/>
      <color rgb="FF1F3864"/>
      <name val="Arial"/>
      <charset val="1"/>
    </font>
    <font>
      <i/>
      <sz val="8.5"/>
      <color rgb="FF8893A5"/>
      <name val="Arial"/>
      <charset val="1"/>
    </font>
    <font>
      <b/>
      <sz val="9"/>
      <name val="Arial"/>
      <charset val="1"/>
    </font>
    <font>
      <b/>
      <sz val="9.5"/>
      <color rgb="FFFFFFFF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10"/>
      <color rgb="FFFFFFFF"/>
      <name val="Arial"/>
      <charset val="1"/>
    </font>
    <font>
      <sz val="10"/>
      <color rgb="FF1C233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C8A028"/>
        <bgColor rgb="FF99CC00"/>
      </patternFill>
    </fill>
    <fill>
      <patternFill patternType="solid">
        <fgColor rgb="FFFFF2CC"/>
        <bgColor rgb="FFFBF1D5"/>
      </patternFill>
    </fill>
    <fill>
      <patternFill patternType="solid">
        <fgColor rgb="FFF2F4F7"/>
        <bgColor rgb="FFFFFFFF"/>
      </patternFill>
    </fill>
    <fill>
      <patternFill patternType="solid">
        <fgColor rgb="FFFBF1D5"/>
        <bgColor rgb="FFFFF2CC"/>
      </patternFill>
    </fill>
    <fill>
      <patternFill patternType="solid">
        <fgColor rgb="FF1F3864"/>
        <bgColor rgb="FF1C2333"/>
      </patternFill>
    </fill>
    <fill>
      <patternFill patternType="solid">
        <fgColor rgb="FF3E5A8A"/>
        <bgColor rgb="FF5A6272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3" borderId="1" xfId="0" applyFont="1" applyFill="1" applyBorder="1" applyProtection="1">
      <protection locked="0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0" fillId="3" borderId="1" xfId="0" applyFill="1" applyBorder="1"/>
    <xf numFmtId="0" fontId="7" fillId="0" borderId="0" xfId="0" applyFont="1"/>
    <xf numFmtId="0" fontId="0" fillId="4" borderId="1" xfId="0" applyFill="1" applyBorder="1"/>
    <xf numFmtId="0" fontId="0" fillId="5" borderId="1" xfId="0" applyFill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6" borderId="0" xfId="0" applyFont="1" applyFill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0" fontId="17" fillId="3" borderId="1" xfId="0" applyFont="1" applyFill="1" applyBorder="1" applyProtection="1">
      <protection locked="0"/>
    </xf>
    <xf numFmtId="0" fontId="17" fillId="3" borderId="1" xfId="0" applyFont="1" applyFill="1" applyBorder="1" applyAlignment="1" applyProtection="1">
      <alignment vertical="center" wrapText="1"/>
      <protection locked="0"/>
    </xf>
    <xf numFmtId="4" fontId="17" fillId="3" borderId="1" xfId="0" applyNumberFormat="1" applyFont="1" applyFill="1" applyBorder="1" applyProtection="1">
      <protection locked="0"/>
    </xf>
    <xf numFmtId="3" fontId="17" fillId="3" borderId="1" xfId="0" applyNumberFormat="1" applyFont="1" applyFill="1" applyBorder="1" applyProtection="1">
      <protection locked="0"/>
    </xf>
    <xf numFmtId="3" fontId="17" fillId="4" borderId="1" xfId="0" applyNumberFormat="1" applyFont="1" applyFill="1" applyBorder="1"/>
    <xf numFmtId="3" fontId="18" fillId="4" borderId="1" xfId="0" applyNumberFormat="1" applyFont="1" applyFill="1" applyBorder="1"/>
    <xf numFmtId="0" fontId="19" fillId="6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3" fontId="20" fillId="0" borderId="1" xfId="0" applyNumberFormat="1" applyFont="1" applyBorder="1"/>
    <xf numFmtId="165" fontId="20" fillId="0" borderId="1" xfId="0" applyNumberFormat="1" applyFont="1" applyBorder="1"/>
    <xf numFmtId="0" fontId="19" fillId="6" borderId="1" xfId="0" applyFont="1" applyFill="1" applyBorder="1"/>
    <xf numFmtId="3" fontId="19" fillId="6" borderId="1" xfId="0" applyNumberFormat="1" applyFont="1" applyFill="1" applyBorder="1"/>
    <xf numFmtId="165" fontId="19" fillId="6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7">
    <dxf>
      <font>
        <color rgb="FFFFFFFF"/>
        <name val="Arial"/>
        <charset val="1"/>
      </font>
    </dxf>
    <dxf>
      <font>
        <b/>
        <color rgb="FF1F7A3F"/>
        <name val="Arial"/>
        <charset val="1"/>
      </font>
    </dxf>
    <dxf>
      <font>
        <b/>
        <color rgb="FF9B1C1C"/>
        <name val="Arial"/>
        <charset val="1"/>
      </font>
      <fill>
        <patternFill>
          <bgColor rgb="FFF8D7DA"/>
        </patternFill>
      </fill>
    </dxf>
    <dxf>
      <font>
        <b/>
        <color rgb="FF8A6A0E"/>
        <name val="Arial"/>
        <charset val="1"/>
      </font>
      <fill>
        <patternFill>
          <bgColor rgb="FFFBF1D5"/>
        </patternFill>
      </fill>
    </dxf>
    <dxf>
      <font>
        <b/>
        <color rgb="FF9B1C1C"/>
        <name val="Arial"/>
        <charset val="1"/>
      </font>
    </dxf>
    <dxf>
      <font>
        <b/>
        <color rgb="FF1F7A3F"/>
        <name val="Arial"/>
        <charset val="1"/>
      </font>
    </dxf>
    <dxf>
      <font>
        <b/>
        <color rgb="FF1F3864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F"/>
      <rgbColor rgb="FF000080"/>
      <rgbColor rgb="FF8A6A0E"/>
      <rgbColor rgb="FF800080"/>
      <rgbColor rgb="FF008080"/>
      <rgbColor rgb="FFC0C0C0"/>
      <rgbColor rgb="FF808080"/>
      <rgbColor rgb="FF9999FF"/>
      <rgbColor rgb="FF993366"/>
      <rgbColor rgb="FFFFF2CC"/>
      <rgbColor rgb="FFF2F4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1D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8A028"/>
      <rgbColor rgb="FFFF6600"/>
      <rgbColor rgb="FF5A6272"/>
      <rgbColor rgb="FF8893A5"/>
      <rgbColor rgb="FF1F3864"/>
      <rgbColor rgb="FF339966"/>
      <rgbColor rgb="FF003300"/>
      <rgbColor rgb="FF333300"/>
      <rgbColor rgb="FF9B1C1C"/>
      <rgbColor rgb="FF993366"/>
      <rgbColor rgb="FF3E5A8A"/>
      <rgbColor rgb="FF1C2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160560</xdr:rowOff>
    </xdr:from>
    <xdr:to>
      <xdr:col>1</xdr:col>
      <xdr:colOff>209160</xdr:colOff>
      <xdr:row>21</xdr:row>
      <xdr:rowOff>179280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1880" y="5867280"/>
          <a:ext cx="209160" cy="209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719640</xdr:colOff>
      <xdr:row>0</xdr:row>
      <xdr:rowOff>380520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14264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22"/>
  <sheetViews>
    <sheetView zoomScaleNormal="100" workbookViewId="0"/>
  </sheetViews>
  <sheetFormatPr defaultColWidth="8.6796875" defaultRowHeight="14.75" x14ac:dyDescent="0.75"/>
  <cols>
    <col min="1" max="1" width="4" customWidth="1"/>
    <col min="2" max="2" width="6" customWidth="1"/>
    <col min="3" max="3" width="100" customWidth="1"/>
  </cols>
  <sheetData>
    <row r="1" spans="2:3" ht="18" x14ac:dyDescent="0.8">
      <c r="B1" s="2" t="s">
        <v>0</v>
      </c>
    </row>
    <row r="2" spans="2:3" x14ac:dyDescent="0.75">
      <c r="B2" s="3" t="s">
        <v>1</v>
      </c>
    </row>
    <row r="4" spans="2:3" ht="31.5" customHeight="1" x14ac:dyDescent="0.75">
      <c r="B4" s="4" t="s">
        <v>2</v>
      </c>
      <c r="C4" s="5" t="s">
        <v>3</v>
      </c>
    </row>
    <row r="5" spans="2:3" ht="31.5" customHeight="1" x14ac:dyDescent="0.75">
      <c r="B5" s="4" t="s">
        <v>4</v>
      </c>
      <c r="C5" s="6" t="s">
        <v>5</v>
      </c>
    </row>
    <row r="6" spans="2:3" ht="31.5" customHeight="1" x14ac:dyDescent="0.75">
      <c r="B6" s="4" t="s">
        <v>6</v>
      </c>
      <c r="C6" s="6" t="s">
        <v>7</v>
      </c>
    </row>
    <row r="7" spans="2:3" ht="31.5" customHeight="1" x14ac:dyDescent="0.75">
      <c r="B7" s="4" t="s">
        <v>8</v>
      </c>
      <c r="C7" s="5" t="s">
        <v>9</v>
      </c>
    </row>
    <row r="8" spans="2:3" ht="31.5" customHeight="1" x14ac:dyDescent="0.75">
      <c r="B8" s="4" t="s">
        <v>10</v>
      </c>
      <c r="C8" s="5" t="s">
        <v>11</v>
      </c>
    </row>
    <row r="9" spans="2:3" ht="31.5" customHeight="1" x14ac:dyDescent="0.75">
      <c r="B9" s="4" t="s">
        <v>12</v>
      </c>
      <c r="C9" s="5" t="s">
        <v>13</v>
      </c>
    </row>
    <row r="10" spans="2:3" ht="31.5" customHeight="1" x14ac:dyDescent="0.75">
      <c r="B10" s="4" t="s">
        <v>14</v>
      </c>
      <c r="C10" s="5" t="s">
        <v>15</v>
      </c>
    </row>
    <row r="11" spans="2:3" ht="31.5" customHeight="1" x14ac:dyDescent="0.75">
      <c r="B11" s="4" t="s">
        <v>16</v>
      </c>
      <c r="C11" s="5" t="s">
        <v>17</v>
      </c>
    </row>
    <row r="13" spans="2:3" x14ac:dyDescent="0.75">
      <c r="B13" s="7" t="s">
        <v>18</v>
      </c>
    </row>
    <row r="14" spans="2:3" x14ac:dyDescent="0.75">
      <c r="B14" s="8"/>
      <c r="C14" s="9" t="s">
        <v>19</v>
      </c>
    </row>
    <row r="15" spans="2:3" x14ac:dyDescent="0.75">
      <c r="B15" s="10"/>
      <c r="C15" s="9" t="s">
        <v>20</v>
      </c>
    </row>
    <row r="16" spans="2:3" x14ac:dyDescent="0.75">
      <c r="B16" s="11"/>
      <c r="C16" s="9" t="s">
        <v>21</v>
      </c>
    </row>
    <row r="18" spans="2:3" x14ac:dyDescent="0.75">
      <c r="B18" s="7" t="s">
        <v>22</v>
      </c>
    </row>
    <row r="19" spans="2:3" ht="30" customHeight="1" x14ac:dyDescent="0.75">
      <c r="C19" s="12" t="s">
        <v>23</v>
      </c>
    </row>
    <row r="22" spans="2:3" x14ac:dyDescent="0.75">
      <c r="C22" s="13" t="s">
        <v>24</v>
      </c>
    </row>
  </sheetData>
  <pageMargins left="0.75" right="0.75" top="1" bottom="1" header="0.511811023622047" footer="0.5"/>
  <pageSetup orientation="landscape" horizontalDpi="300" verticalDpi="300"/>
  <headerFooter>
    <oddFooter>&amp;L&amp;7 Resumen elaborado por Conexdata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08"/>
  <sheetViews>
    <sheetView tabSelected="1" zoomScaleNormal="100" workbookViewId="0">
      <pane ySplit="8" topLeftCell="A18" activePane="bottomLeft" state="frozen"/>
      <selection pane="bottomLeft"/>
    </sheetView>
  </sheetViews>
  <sheetFormatPr defaultColWidth="8.6796875" defaultRowHeight="14.75" x14ac:dyDescent="0.75"/>
  <cols>
    <col min="1" max="1" width="6" customWidth="1"/>
    <col min="2" max="2" width="14" customWidth="1"/>
    <col min="3" max="3" width="24" customWidth="1"/>
    <col min="4" max="4" width="52" customWidth="1"/>
    <col min="5" max="5" width="8" customWidth="1"/>
    <col min="6" max="6" width="12" customWidth="1"/>
    <col min="7" max="9" width="14" customWidth="1"/>
    <col min="10" max="10" width="17" customWidth="1"/>
    <col min="11" max="11" width="26" customWidth="1"/>
    <col min="12" max="12" width="32" customWidth="1"/>
    <col min="13" max="15" width="4" hidden="1" customWidth="1"/>
  </cols>
  <sheetData>
    <row r="1" spans="1:15" ht="33.75" customHeight="1" x14ac:dyDescent="0.9">
      <c r="D1" s="14" t="s">
        <v>25</v>
      </c>
    </row>
    <row r="2" spans="1:15" x14ac:dyDescent="0.75">
      <c r="D2" s="15" t="s">
        <v>26</v>
      </c>
    </row>
    <row r="4" spans="1:15" x14ac:dyDescent="0.75">
      <c r="B4" s="16" t="s">
        <v>27</v>
      </c>
      <c r="C4" s="1" t="s">
        <v>28</v>
      </c>
      <c r="D4" s="1"/>
      <c r="E4" s="1"/>
      <c r="F4" s="1"/>
      <c r="H4" s="16" t="s">
        <v>29</v>
      </c>
      <c r="I4" s="1" t="s">
        <v>30</v>
      </c>
      <c r="J4" s="1"/>
      <c r="K4" s="17" t="s">
        <v>31</v>
      </c>
      <c r="L4" s="17" t="s">
        <v>32</v>
      </c>
    </row>
    <row r="5" spans="1:15" ht="16.75" x14ac:dyDescent="0.75">
      <c r="B5" s="16" t="s">
        <v>33</v>
      </c>
      <c r="C5" s="1" t="s">
        <v>34</v>
      </c>
      <c r="D5" s="1"/>
      <c r="E5" s="1"/>
      <c r="F5" s="1"/>
      <c r="H5" s="16" t="s">
        <v>35</v>
      </c>
      <c r="I5" s="1" t="s">
        <v>36</v>
      </c>
      <c r="J5" s="1"/>
      <c r="K5" s="18">
        <f>SUM(J9:J1008)</f>
        <v>237656839.87759998</v>
      </c>
      <c r="L5" s="19">
        <f>COUNTIF(N9:N1008,"W")</f>
        <v>29</v>
      </c>
    </row>
    <row r="6" spans="1:15" x14ac:dyDescent="0.75">
      <c r="B6" s="16" t="s">
        <v>37</v>
      </c>
      <c r="C6" s="1" t="s">
        <v>38</v>
      </c>
      <c r="D6" s="1"/>
      <c r="E6" s="20" t="s">
        <v>39</v>
      </c>
      <c r="L6" s="21" t="str">
        <f>IF(COUNTIF(L9:L1008,"✓ OK")=L5,"✓ Todo OK",(L5-COUNTIF(L9:L1008,"✓ OK"))&amp;" fila(s) a revisar")</f>
        <v>✓ Todo OK</v>
      </c>
    </row>
    <row r="8" spans="1:15" ht="31.5" customHeight="1" x14ac:dyDescent="0.75">
      <c r="A8" s="22" t="s">
        <v>40</v>
      </c>
      <c r="B8" s="22" t="s">
        <v>41</v>
      </c>
      <c r="C8" s="22" t="s">
        <v>42</v>
      </c>
      <c r="D8" s="22" t="s">
        <v>43</v>
      </c>
      <c r="E8" s="22" t="s">
        <v>44</v>
      </c>
      <c r="F8" s="22" t="s">
        <v>45</v>
      </c>
      <c r="G8" s="22" t="s">
        <v>46</v>
      </c>
      <c r="H8" s="22" t="s">
        <v>47</v>
      </c>
      <c r="I8" s="23" t="s">
        <v>48</v>
      </c>
      <c r="J8" s="23" t="s">
        <v>49</v>
      </c>
      <c r="K8" s="22" t="s">
        <v>50</v>
      </c>
      <c r="L8" s="23" t="s">
        <v>51</v>
      </c>
      <c r="M8" s="22" t="s">
        <v>52</v>
      </c>
      <c r="N8" s="22" t="s">
        <v>53</v>
      </c>
      <c r="O8" s="22">
        <v>0</v>
      </c>
    </row>
    <row r="9" spans="1:15" x14ac:dyDescent="0.75">
      <c r="A9" s="24">
        <f>IF(N9="W",COUNTIF(N$9:N9,"W"),"")</f>
        <v>1</v>
      </c>
      <c r="B9" s="25" t="s">
        <v>38</v>
      </c>
      <c r="C9" s="25" t="s">
        <v>54</v>
      </c>
      <c r="D9" s="26" t="s">
        <v>55</v>
      </c>
      <c r="E9" s="25" t="s">
        <v>56</v>
      </c>
      <c r="F9" s="27">
        <v>618</v>
      </c>
      <c r="G9" s="28">
        <v>500</v>
      </c>
      <c r="H9" s="28">
        <v>3000</v>
      </c>
      <c r="I9" s="29">
        <f t="shared" ref="I9:I72" si="0">IF(N9="W",IFERROR(N(G9)+N(H9),0),"")</f>
        <v>3500</v>
      </c>
      <c r="J9" s="30">
        <f t="shared" ref="J9:J72" si="1">IF(N9="W",IFERROR(N(F9)*I9,0),"")</f>
        <v>2163000</v>
      </c>
      <c r="K9" s="26"/>
      <c r="L9" s="24" t="str">
        <f>IF(N9="","",IF(N9="T","Título de capítulo",IF(OR(ISERROR(F9),ISERROR(G9),ISERROR(H9)),"Error en fórmula: pegá como valores",IF(AND(B9="",$C$6=""),"Falta sector",IF(M9="","Falta capítulo",IF(TRIM(E9)="","Falta unidad",IF(NOT((COUNTIF(Listas!$A$2:$A$40,E9)+COUNTIF(Listas!$D$2:$D$60,E9)&gt;0)),"Unidad no reconocida",IF(AND(F9&lt;&gt;"",NOT(ISNUMBER(F9))),"Cantidad no es número",IF(N(F9)&lt;=0,"Falta cantidad",IF(OR(AND(G9&lt;&gt;"",NOT(ISNUMBER(G9))),AND(H9&lt;&gt;"",NOT(ISNUMBER(H9)))),"Precio no es número",IF(N(G9)+N(H9)&lt;=0,"Falta precio","✓ OK")))))))))))</f>
        <v>✓ OK</v>
      </c>
      <c r="M9" t="str">
        <f>IF(N9&lt;&gt;"W","",IF(TRIM(C9)&lt;&gt;"",TRIM(C9),IFERROR(LOOKUP(2,1/(N$9:N9="T"),D$9:D9),"")))</f>
        <v>PRELIMINARES</v>
      </c>
      <c r="N9" t="str">
        <f t="shared" ref="N9:N72" si="2">IF(TRIM(D9)="","",IF(AND(TRIM(E9)="",IFERROR(N(F9),1)=0,IFERROR(N(G9)+N(H9),1)=0),"T","W"))</f>
        <v>W</v>
      </c>
      <c r="O9">
        <f>IF(M9="","",IF(COUNTIF(M$9:M9,M9)=1,MAX(O$8:O8)+1,""))</f>
        <v>1</v>
      </c>
    </row>
    <row r="10" spans="1:15" x14ac:dyDescent="0.75">
      <c r="A10" s="24">
        <f>IF(N10="W",COUNTIF(N$9:N10,"W"),"")</f>
        <v>2</v>
      </c>
      <c r="B10" s="25" t="s">
        <v>38</v>
      </c>
      <c r="C10" s="25" t="s">
        <v>54</v>
      </c>
      <c r="D10" s="26" t="s">
        <v>57</v>
      </c>
      <c r="E10" s="25" t="s">
        <v>56</v>
      </c>
      <c r="F10" s="27">
        <f>21.5*2.95</f>
        <v>63.425000000000004</v>
      </c>
      <c r="G10" s="28">
        <v>20000</v>
      </c>
      <c r="H10" s="28">
        <v>0</v>
      </c>
      <c r="I10" s="29">
        <f t="shared" si="0"/>
        <v>20000</v>
      </c>
      <c r="J10" s="30">
        <f t="shared" si="1"/>
        <v>1268500</v>
      </c>
      <c r="K10" s="26"/>
      <c r="L10" s="24" t="str">
        <f>IF(N10="","",IF(N10="T","Título de capítulo",IF(OR(ISERROR(F10),ISERROR(G10),ISERROR(H10)),"Error en fórmula: pegá como valores",IF(AND(B10="",$C$6=""),"Falta sector",IF(M10="","Falta capítulo",IF(TRIM(E10)="","Falta unidad",IF(NOT((COUNTIF(Listas!$A$2:$A$40,E10)+COUNTIF(Listas!$D$2:$D$60,E10)&gt;0)),"Unidad no reconocida",IF(AND(F10&lt;&gt;"",NOT(ISNUMBER(F10))),"Cantidad no es número",IF(N(F10)&lt;=0,"Falta cantidad",IF(OR(AND(G10&lt;&gt;"",NOT(ISNUMBER(G10))),AND(H10&lt;&gt;"",NOT(ISNUMBER(H10)))),"Precio no es número",IF(N(G10)+N(H10)&lt;=0,"Falta precio","✓ OK")))))))))))</f>
        <v>✓ OK</v>
      </c>
      <c r="M10" t="str">
        <f>IF(N10&lt;&gt;"W","",IF(TRIM(C10)&lt;&gt;"",TRIM(C10),IFERROR(LOOKUP(2,1/(N$9:N10="T"),D$9:D10),"")))</f>
        <v>PRELIMINARES</v>
      </c>
      <c r="N10" t="str">
        <f t="shared" si="2"/>
        <v>W</v>
      </c>
      <c r="O10" t="str">
        <f>IF(M10="","",IF(COUNTIF(M$9:M10,M10)=1,MAX(O$8:O9)+1,""))</f>
        <v/>
      </c>
    </row>
    <row r="11" spans="1:15" x14ac:dyDescent="0.75">
      <c r="A11" s="24">
        <f>IF(N11="W",COUNTIF(N$9:N11,"W"),"")</f>
        <v>3</v>
      </c>
      <c r="B11" s="25" t="s">
        <v>38</v>
      </c>
      <c r="C11" s="25" t="s">
        <v>58</v>
      </c>
      <c r="D11" s="26" t="s">
        <v>59</v>
      </c>
      <c r="E11" s="25" t="s">
        <v>56</v>
      </c>
      <c r="F11" s="27">
        <f>4.5*3+1.96*3+21.96*3+26.35*3+5*3+1.5*3</f>
        <v>183.81</v>
      </c>
      <c r="G11" s="28">
        <v>45000</v>
      </c>
      <c r="H11" s="28">
        <f>50*1300+7*1340+0.03*15000+0.06*160000</f>
        <v>84430</v>
      </c>
      <c r="I11" s="29">
        <f t="shared" si="0"/>
        <v>129430</v>
      </c>
      <c r="J11" s="30">
        <f t="shared" si="1"/>
        <v>23790528.300000001</v>
      </c>
      <c r="K11" s="26"/>
      <c r="L11" s="24" t="str">
        <f>IF(N11="","",IF(N11="T","Título de capítulo",IF(OR(ISERROR(F11),ISERROR(G11),ISERROR(H11)),"Error en fórmula: pegá como valores",IF(AND(B11="",$C$6=""),"Falta sector",IF(M11="","Falta capítulo",IF(TRIM(E11)="","Falta unidad",IF(NOT((COUNTIF(Listas!$A$2:$A$40,E11)+COUNTIF(Listas!$D$2:$D$60,E11)&gt;0)),"Unidad no reconocida",IF(AND(F11&lt;&gt;"",NOT(ISNUMBER(F11))),"Cantidad no es número",IF(N(F11)&lt;=0,"Falta cantidad",IF(OR(AND(G11&lt;&gt;"",NOT(ISNUMBER(G11))),AND(H11&lt;&gt;"",NOT(ISNUMBER(H11)))),"Precio no es número",IF(N(G11)+N(H11)&lt;=0,"Falta precio","✓ OK")))))))))))</f>
        <v>✓ OK</v>
      </c>
      <c r="M11" t="str">
        <f>IF(N11&lt;&gt;"W","",IF(TRIM(C11)&lt;&gt;"",TRIM(C11),IFERROR(LOOKUP(2,1/(N$9:N11="T"),D$9:D11),"")))</f>
        <v>MAMPOSTERÍA</v>
      </c>
      <c r="N11" t="str">
        <f t="shared" si="2"/>
        <v>W</v>
      </c>
      <c r="O11">
        <f>IF(M11="","",IF(COUNTIF(M$9:M11,M11)=1,MAX(O$8:O10)+1,""))</f>
        <v>2</v>
      </c>
    </row>
    <row r="12" spans="1:15" x14ac:dyDescent="0.75">
      <c r="A12" s="24">
        <f>IF(N12="W",COUNTIF(N$9:N12,"W"),"")</f>
        <v>4</v>
      </c>
      <c r="B12" s="25" t="s">
        <v>38</v>
      </c>
      <c r="C12" s="25" t="s">
        <v>58</v>
      </c>
      <c r="D12" s="26" t="s">
        <v>60</v>
      </c>
      <c r="E12" s="25" t="s">
        <v>61</v>
      </c>
      <c r="F12" s="27">
        <f>4.5+1.96+21.96+26.35</f>
        <v>54.77</v>
      </c>
      <c r="G12" s="28">
        <v>35000</v>
      </c>
      <c r="H12" s="28">
        <v>20388</v>
      </c>
      <c r="I12" s="29">
        <f t="shared" si="0"/>
        <v>55388</v>
      </c>
      <c r="J12" s="30">
        <f t="shared" si="1"/>
        <v>3033600.7600000002</v>
      </c>
      <c r="K12" s="26"/>
      <c r="L12" s="24" t="str">
        <f>IF(N12="","",IF(N12="T","Título de capítulo",IF(OR(ISERROR(F12),ISERROR(G12),ISERROR(H12)),"Error en fórmula: pegá como valores",IF(AND(B12="",$C$6=""),"Falta sector",IF(M12="","Falta capítulo",IF(TRIM(E12)="","Falta unidad",IF(NOT((COUNTIF(Listas!$A$2:$A$40,E12)+COUNTIF(Listas!$D$2:$D$60,E12)&gt;0)),"Unidad no reconocida",IF(AND(F12&lt;&gt;"",NOT(ISNUMBER(F12))),"Cantidad no es número",IF(N(F12)&lt;=0,"Falta cantidad",IF(OR(AND(G12&lt;&gt;"",NOT(ISNUMBER(G12))),AND(H12&lt;&gt;"",NOT(ISNUMBER(H12)))),"Precio no es número",IF(N(G12)+N(H12)&lt;=0,"Falta precio","✓ OK")))))))))))</f>
        <v>✓ OK</v>
      </c>
      <c r="M12" t="str">
        <f>IF(N12&lt;&gt;"W","",IF(TRIM(C12)&lt;&gt;"",TRIM(C12),IFERROR(LOOKUP(2,1/(N$9:N12="T"),D$9:D12),"")))</f>
        <v>MAMPOSTERÍA</v>
      </c>
      <c r="N12" t="str">
        <f t="shared" si="2"/>
        <v>W</v>
      </c>
      <c r="O12" t="str">
        <f>IF(M12="","",IF(COUNTIF(M$9:M12,M12)=1,MAX(O$8:O11)+1,""))</f>
        <v/>
      </c>
    </row>
    <row r="13" spans="1:15" x14ac:dyDescent="0.75">
      <c r="A13" s="24">
        <f>IF(N13="W",COUNTIF(N$9:N13,"W"),"")</f>
        <v>5</v>
      </c>
      <c r="B13" s="25" t="s">
        <v>38</v>
      </c>
      <c r="C13" s="25" t="s">
        <v>58</v>
      </c>
      <c r="D13" s="26" t="s">
        <v>62</v>
      </c>
      <c r="E13" s="25" t="s">
        <v>63</v>
      </c>
      <c r="F13" s="27">
        <f>4.5*3+1.96*3+21.96+26.35</f>
        <v>67.69</v>
      </c>
      <c r="G13" s="28">
        <v>15000</v>
      </c>
      <c r="H13" s="28">
        <v>12975</v>
      </c>
      <c r="I13" s="29">
        <f t="shared" si="0"/>
        <v>27975</v>
      </c>
      <c r="J13" s="30">
        <f t="shared" si="1"/>
        <v>1893627.75</v>
      </c>
      <c r="K13" s="26"/>
      <c r="L13" s="24" t="str">
        <f>IF(N13="","",IF(N13="T","Título de capítulo",IF(OR(ISERROR(F13),ISERROR(G13),ISERROR(H13)),"Error en fórmula: pegá como valores",IF(AND(B13="",$C$6=""),"Falta sector",IF(M13="","Falta capítulo",IF(TRIM(E13)="","Falta unidad",IF(NOT((COUNTIF(Listas!$A$2:$A$40,E13)+COUNTIF(Listas!$D$2:$D$60,E13)&gt;0)),"Unidad no reconocida",IF(AND(F13&lt;&gt;"",NOT(ISNUMBER(F13))),"Cantidad no es número",IF(N(F13)&lt;=0,"Falta cantidad",IF(OR(AND(G13&lt;&gt;"",NOT(ISNUMBER(G13))),AND(H13&lt;&gt;"",NOT(ISNUMBER(H13)))),"Precio no es número",IF(N(G13)+N(H13)&lt;=0,"Falta precio","✓ OK")))))))))))</f>
        <v>✓ OK</v>
      </c>
      <c r="M13" t="str">
        <f>IF(N13&lt;&gt;"W","",IF(TRIM(C13)&lt;&gt;"",TRIM(C13),IFERROR(LOOKUP(2,1/(N$9:N13="T"),D$9:D13),"")))</f>
        <v>MAMPOSTERÍA</v>
      </c>
      <c r="N13" t="str">
        <f t="shared" si="2"/>
        <v>W</v>
      </c>
      <c r="O13" t="str">
        <f>IF(M13="","",IF(COUNTIF(M$9:M13,M13)=1,MAX(O$8:O12)+1,""))</f>
        <v/>
      </c>
    </row>
    <row r="14" spans="1:15" x14ac:dyDescent="0.75">
      <c r="A14" s="24">
        <f>IF(N14="W",COUNTIF(N$9:N14,"W"),"")</f>
        <v>6</v>
      </c>
      <c r="B14" s="25" t="s">
        <v>38</v>
      </c>
      <c r="C14" s="25" t="s">
        <v>58</v>
      </c>
      <c r="D14" s="26" t="s">
        <v>64</v>
      </c>
      <c r="E14" s="25" t="s">
        <v>65</v>
      </c>
      <c r="F14" s="27">
        <f>3+2+2+2+2+2+2</f>
        <v>15</v>
      </c>
      <c r="G14" s="28">
        <v>30000</v>
      </c>
      <c r="H14" s="28">
        <f>125000*(4/12)</f>
        <v>41666.666666666664</v>
      </c>
      <c r="I14" s="29">
        <f t="shared" si="0"/>
        <v>71666.666666666657</v>
      </c>
      <c r="J14" s="30">
        <f t="shared" si="1"/>
        <v>1074999.9999999998</v>
      </c>
      <c r="K14" s="26"/>
      <c r="L14" s="24" t="str">
        <f>IF(N14="","",IF(N14="T","Título de capítulo",IF(OR(ISERROR(F14),ISERROR(G14),ISERROR(H14)),"Error en fórmula: pegá como valores",IF(AND(B14="",$C$6=""),"Falta sector",IF(M14="","Falta capítulo",IF(TRIM(E14)="","Falta unidad",IF(NOT((COUNTIF(Listas!$A$2:$A$40,E14)+COUNTIF(Listas!$D$2:$D$60,E14)&gt;0)),"Unidad no reconocida",IF(AND(F14&lt;&gt;"",NOT(ISNUMBER(F14))),"Cantidad no es número",IF(N(F14)&lt;=0,"Falta cantidad",IF(OR(AND(G14&lt;&gt;"",NOT(ISNUMBER(G14))),AND(H14&lt;&gt;"",NOT(ISNUMBER(H14)))),"Precio no es número",IF(N(G14)+N(H14)&lt;=0,"Falta precio","✓ OK")))))))))))</f>
        <v>✓ OK</v>
      </c>
      <c r="M14" t="str">
        <f>IF(N14&lt;&gt;"W","",IF(TRIM(C14)&lt;&gt;"",TRIM(C14),IFERROR(LOOKUP(2,1/(N$9:N14="T"),D$9:D14),"")))</f>
        <v>MAMPOSTERÍA</v>
      </c>
      <c r="N14" t="str">
        <f t="shared" si="2"/>
        <v>W</v>
      </c>
      <c r="O14" t="str">
        <f>IF(M14="","",IF(COUNTIF(M$9:M14,M14)=1,MAX(O$8:O13)+1,""))</f>
        <v/>
      </c>
    </row>
    <row r="15" spans="1:15" x14ac:dyDescent="0.75">
      <c r="A15" s="24">
        <f>IF(N15="W",COUNTIF(N$9:N15,"W"),"")</f>
        <v>7</v>
      </c>
      <c r="B15" s="25" t="s">
        <v>38</v>
      </c>
      <c r="C15" s="25" t="s">
        <v>58</v>
      </c>
      <c r="D15" s="26" t="s">
        <v>66</v>
      </c>
      <c r="E15" s="25" t="s">
        <v>56</v>
      </c>
      <c r="F15" s="27">
        <f>5.15*3.4</f>
        <v>17.510000000000002</v>
      </c>
      <c r="G15" s="28">
        <f>40000+5000</f>
        <v>45000</v>
      </c>
      <c r="H15" s="28">
        <v>1321.76</v>
      </c>
      <c r="I15" s="29">
        <f t="shared" si="0"/>
        <v>46321.760000000002</v>
      </c>
      <c r="J15" s="30">
        <f t="shared" si="1"/>
        <v>811094.01760000014</v>
      </c>
      <c r="K15" s="26"/>
      <c r="L15" s="24" t="str">
        <f>IF(N15="","",IF(N15="T","Título de capítulo",IF(OR(ISERROR(F15),ISERROR(G15),ISERROR(H15)),"Error en fórmula: pegá como valores",IF(AND(B15="",$C$6=""),"Falta sector",IF(M15="","Falta capítulo",IF(TRIM(E15)="","Falta unidad",IF(NOT((COUNTIF(Listas!$A$2:$A$40,E15)+COUNTIF(Listas!$D$2:$D$60,E15)&gt;0)),"Unidad no reconocida",IF(AND(F15&lt;&gt;"",NOT(ISNUMBER(F15))),"Cantidad no es número",IF(N(F15)&lt;=0,"Falta cantidad",IF(OR(AND(G15&lt;&gt;"",NOT(ISNUMBER(G15))),AND(H15&lt;&gt;"",NOT(ISNUMBER(H15)))),"Precio no es número",IF(N(G15)+N(H15)&lt;=0,"Falta precio","✓ OK")))))))))))</f>
        <v>✓ OK</v>
      </c>
      <c r="M15" t="str">
        <f>IF(N15&lt;&gt;"W","",IF(TRIM(C15)&lt;&gt;"",TRIM(C15),IFERROR(LOOKUP(2,1/(N$9:N15="T"),D$9:D15),"")))</f>
        <v>MAMPOSTERÍA</v>
      </c>
      <c r="N15" t="str">
        <f t="shared" si="2"/>
        <v>W</v>
      </c>
      <c r="O15" t="str">
        <f>IF(M15="","",IF(COUNTIF(M$9:M15,M15)=1,MAX(O$8:O14)+1,""))</f>
        <v/>
      </c>
    </row>
    <row r="16" spans="1:15" x14ac:dyDescent="0.75">
      <c r="A16" s="24">
        <f>IF(N16="W",COUNTIF(N$9:N16,"W"),"")</f>
        <v>8</v>
      </c>
      <c r="B16" s="25" t="s">
        <v>38</v>
      </c>
      <c r="C16" s="25" t="s">
        <v>67</v>
      </c>
      <c r="D16" s="26" t="s">
        <v>68</v>
      </c>
      <c r="E16" s="25" t="s">
        <v>56</v>
      </c>
      <c r="F16" s="27">
        <f>6.49*3+6.14*3+21.96*3+5*3*2+1.5*3*2+16.1*3</f>
        <v>191.07</v>
      </c>
      <c r="G16" s="28">
        <v>5000</v>
      </c>
      <c r="H16" s="28">
        <f>0.5*1100+0.03*140000</f>
        <v>4750</v>
      </c>
      <c r="I16" s="29">
        <f t="shared" si="0"/>
        <v>9750</v>
      </c>
      <c r="J16" s="30">
        <f t="shared" si="1"/>
        <v>1862932.5</v>
      </c>
      <c r="K16" s="26"/>
      <c r="L16" s="24" t="str">
        <f>IF(N16="","",IF(N16="T","Título de capítulo",IF(OR(ISERROR(F16),ISERROR(G16),ISERROR(H16)),"Error en fórmula: pegá como valores",IF(AND(B16="",$C$6=""),"Falta sector",IF(M16="","Falta capítulo",IF(TRIM(E16)="","Falta unidad",IF(NOT((COUNTIF(Listas!$A$2:$A$40,E16)+COUNTIF(Listas!$D$2:$D$60,E16)&gt;0)),"Unidad no reconocida",IF(AND(F16&lt;&gt;"",NOT(ISNUMBER(F16))),"Cantidad no es número",IF(N(F16)&lt;=0,"Falta cantidad",IF(OR(AND(G16&lt;&gt;"",NOT(ISNUMBER(G16))),AND(H16&lt;&gt;"",NOT(ISNUMBER(H16)))),"Precio no es número",IF(N(G16)+N(H16)&lt;=0,"Falta precio","✓ OK")))))))))))</f>
        <v>✓ OK</v>
      </c>
      <c r="M16" t="str">
        <f>IF(N16&lt;&gt;"W","",IF(TRIM(C16)&lt;&gt;"",TRIM(C16),IFERROR(LOOKUP(2,1/(N$9:N16="T"),D$9:D16),"")))</f>
        <v>REVOQUES</v>
      </c>
      <c r="N16" t="str">
        <f t="shared" si="2"/>
        <v>W</v>
      </c>
      <c r="O16">
        <f>IF(M16="","",IF(COUNTIF(M$9:M16,M16)=1,MAX(O$8:O15)+1,""))</f>
        <v>3</v>
      </c>
    </row>
    <row r="17" spans="1:15" x14ac:dyDescent="0.75">
      <c r="A17" s="24">
        <f>IF(N17="W",COUNTIF(N$9:N17,"W"),"")</f>
        <v>9</v>
      </c>
      <c r="B17" s="25" t="s">
        <v>38</v>
      </c>
      <c r="C17" s="25" t="s">
        <v>67</v>
      </c>
      <c r="D17" s="26" t="s">
        <v>69</v>
      </c>
      <c r="E17" s="25" t="s">
        <v>56</v>
      </c>
      <c r="F17" s="27">
        <v>191.07</v>
      </c>
      <c r="G17" s="28">
        <v>50000</v>
      </c>
      <c r="H17" s="28">
        <v>28450</v>
      </c>
      <c r="I17" s="29">
        <f t="shared" si="0"/>
        <v>78450</v>
      </c>
      <c r="J17" s="30">
        <f t="shared" si="1"/>
        <v>14989441.5</v>
      </c>
      <c r="K17" s="26"/>
      <c r="L17" s="24" t="str">
        <f>IF(N17="","",IF(N17="T","Título de capítulo",IF(OR(ISERROR(F17),ISERROR(G17),ISERROR(H17)),"Error en fórmula: pegá como valores",IF(AND(B17="",$C$6=""),"Falta sector",IF(M17="","Falta capítulo",IF(TRIM(E17)="","Falta unidad",IF(NOT((COUNTIF(Listas!$A$2:$A$40,E17)+COUNTIF(Listas!$D$2:$D$60,E17)&gt;0)),"Unidad no reconocida",IF(AND(F17&lt;&gt;"",NOT(ISNUMBER(F17))),"Cantidad no es número",IF(N(F17)&lt;=0,"Falta cantidad",IF(OR(AND(G17&lt;&gt;"",NOT(ISNUMBER(G17))),AND(H17&lt;&gt;"",NOT(ISNUMBER(H17)))),"Precio no es número",IF(N(G17)+N(H17)&lt;=0,"Falta precio","✓ OK")))))))))))</f>
        <v>✓ OK</v>
      </c>
      <c r="M17" t="str">
        <f>IF(N17&lt;&gt;"W","",IF(TRIM(C17)&lt;&gt;"",TRIM(C17),IFERROR(LOOKUP(2,1/(N$9:N17="T"),D$9:D17),"")))</f>
        <v>REVOQUES</v>
      </c>
      <c r="N17" t="str">
        <f t="shared" si="2"/>
        <v>W</v>
      </c>
      <c r="O17" t="str">
        <f>IF(M17="","",IF(COUNTIF(M$9:M17,M17)=1,MAX(O$8:O16)+1,""))</f>
        <v/>
      </c>
    </row>
    <row r="18" spans="1:15" x14ac:dyDescent="0.75">
      <c r="A18" s="24">
        <f>IF(N18="W",COUNTIF(N$9:N18,"W"),"")</f>
        <v>10</v>
      </c>
      <c r="B18" s="25" t="s">
        <v>38</v>
      </c>
      <c r="C18" s="25" t="s">
        <v>67</v>
      </c>
      <c r="D18" s="26" t="s">
        <v>70</v>
      </c>
      <c r="E18" s="25" t="s">
        <v>56</v>
      </c>
      <c r="F18" s="27">
        <f>6.3*3</f>
        <v>18.899999999999999</v>
      </c>
      <c r="G18" s="28">
        <v>15000</v>
      </c>
      <c r="H18" s="28">
        <v>0</v>
      </c>
      <c r="I18" s="29">
        <f t="shared" si="0"/>
        <v>15000</v>
      </c>
      <c r="J18" s="30">
        <f t="shared" si="1"/>
        <v>283500</v>
      </c>
      <c r="K18" s="26"/>
      <c r="L18" s="24" t="str">
        <f>IF(N18="","",IF(N18="T","Título de capítulo",IF(OR(ISERROR(F18),ISERROR(G18),ISERROR(H18)),"Error en fórmula: pegá como valores",IF(AND(B18="",$C$6=""),"Falta sector",IF(M18="","Falta capítulo",IF(TRIM(E18)="","Falta unidad",IF(NOT((COUNTIF(Listas!$A$2:$A$40,E18)+COUNTIF(Listas!$D$2:$D$60,E18)&gt;0)),"Unidad no reconocida",IF(AND(F18&lt;&gt;"",NOT(ISNUMBER(F18))),"Cantidad no es número",IF(N(F18)&lt;=0,"Falta cantidad",IF(OR(AND(G18&lt;&gt;"",NOT(ISNUMBER(G18))),AND(H18&lt;&gt;"",NOT(ISNUMBER(H18)))),"Precio no es número",IF(N(G18)+N(H18)&lt;=0,"Falta precio","✓ OK")))))))))))</f>
        <v>✓ OK</v>
      </c>
      <c r="M18" t="str">
        <f>IF(N18&lt;&gt;"W","",IF(TRIM(C18)&lt;&gt;"",TRIM(C18),IFERROR(LOOKUP(2,1/(N$9:N18="T"),D$9:D18),"")))</f>
        <v>REVOQUES</v>
      </c>
      <c r="N18" t="str">
        <f t="shared" si="2"/>
        <v>W</v>
      </c>
      <c r="O18" t="str">
        <f>IF(M18="","",IF(COUNTIF(M$9:M18,M18)=1,MAX(O$8:O17)+1,""))</f>
        <v/>
      </c>
    </row>
    <row r="19" spans="1:15" x14ac:dyDescent="0.75">
      <c r="A19" s="24">
        <f>IF(N19="W",COUNTIF(N$9:N19,"W"),"")</f>
        <v>11</v>
      </c>
      <c r="B19" s="25" t="s">
        <v>38</v>
      </c>
      <c r="C19" s="25" t="s">
        <v>67</v>
      </c>
      <c r="D19" s="26" t="s">
        <v>71</v>
      </c>
      <c r="E19" s="25" t="s">
        <v>56</v>
      </c>
      <c r="F19" s="27">
        <f>3.68*2.95+3.83*2.95+5.58*2.95+6.14*2.95</f>
        <v>56.728500000000004</v>
      </c>
      <c r="G19" s="28">
        <v>10000</v>
      </c>
      <c r="H19" s="28">
        <v>0</v>
      </c>
      <c r="I19" s="29">
        <f t="shared" si="0"/>
        <v>10000</v>
      </c>
      <c r="J19" s="30">
        <f t="shared" si="1"/>
        <v>567285</v>
      </c>
      <c r="K19" s="26"/>
      <c r="L19" s="24" t="str">
        <f>IF(N19="","",IF(N19="T","Título de capítulo",IF(OR(ISERROR(F19),ISERROR(G19),ISERROR(H19)),"Error en fórmula: pegá como valores",IF(AND(B19="",$C$6=""),"Falta sector",IF(M19="","Falta capítulo",IF(TRIM(E19)="","Falta unidad",IF(NOT((COUNTIF(Listas!$A$2:$A$40,E19)+COUNTIF(Listas!$D$2:$D$60,E19)&gt;0)),"Unidad no reconocida",IF(AND(F19&lt;&gt;"",NOT(ISNUMBER(F19))),"Cantidad no es número",IF(N(F19)&lt;=0,"Falta cantidad",IF(OR(AND(G19&lt;&gt;"",NOT(ISNUMBER(G19))),AND(H19&lt;&gt;"",NOT(ISNUMBER(H19)))),"Precio no es número",IF(N(G19)+N(H19)&lt;=0,"Falta precio","✓ OK")))))))))))</f>
        <v>✓ OK</v>
      </c>
      <c r="M19" t="str">
        <f>IF(N19&lt;&gt;"W","",IF(TRIM(C19)&lt;&gt;"",TRIM(C19),IFERROR(LOOKUP(2,1/(N$9:N19="T"),D$9:D19),"")))</f>
        <v>REVOQUES</v>
      </c>
      <c r="N19" t="str">
        <f t="shared" si="2"/>
        <v>W</v>
      </c>
      <c r="O19" t="str">
        <f>IF(M19="","",IF(COUNTIF(M$9:M19,M19)=1,MAX(O$8:O18)+1,""))</f>
        <v/>
      </c>
    </row>
    <row r="20" spans="1:15" x14ac:dyDescent="0.75">
      <c r="A20" s="24">
        <f>IF(N20="W",COUNTIF(N$9:N20,"W"),"")</f>
        <v>12</v>
      </c>
      <c r="B20" s="25" t="s">
        <v>38</v>
      </c>
      <c r="C20" s="25" t="s">
        <v>67</v>
      </c>
      <c r="D20" s="26" t="s">
        <v>72</v>
      </c>
      <c r="E20" s="25" t="s">
        <v>56</v>
      </c>
      <c r="F20" s="27">
        <v>459.38</v>
      </c>
      <c r="G20" s="28">
        <v>10000</v>
      </c>
      <c r="H20" s="28">
        <v>12584</v>
      </c>
      <c r="I20" s="29">
        <f t="shared" si="0"/>
        <v>22584</v>
      </c>
      <c r="J20" s="30">
        <f t="shared" si="1"/>
        <v>10374637.92</v>
      </c>
      <c r="K20" s="26"/>
      <c r="L20" s="24" t="str">
        <f>IF(N20="","",IF(N20="T","Título de capítulo",IF(OR(ISERROR(F20),ISERROR(G20),ISERROR(H20)),"Error en fórmula: pegá como valores",IF(AND(B20="",$C$6=""),"Falta sector",IF(M20="","Falta capítulo",IF(TRIM(E20)="","Falta unidad",IF(NOT((COUNTIF(Listas!$A$2:$A$40,E20)+COUNTIF(Listas!$D$2:$D$60,E20)&gt;0)),"Unidad no reconocida",IF(AND(F20&lt;&gt;"",NOT(ISNUMBER(F20))),"Cantidad no es número",IF(N(F20)&lt;=0,"Falta cantidad",IF(OR(AND(G20&lt;&gt;"",NOT(ISNUMBER(G20))),AND(H20&lt;&gt;"",NOT(ISNUMBER(H20)))),"Precio no es número",IF(N(G20)+N(H20)&lt;=0,"Falta precio","✓ OK")))))))))))</f>
        <v>✓ OK</v>
      </c>
      <c r="M20" t="str">
        <f>IF(N20&lt;&gt;"W","",IF(TRIM(C20)&lt;&gt;"",TRIM(C20),IFERROR(LOOKUP(2,1/(N$9:N20="T"),D$9:D20),"")))</f>
        <v>REVOQUES</v>
      </c>
      <c r="N20" t="str">
        <f t="shared" si="2"/>
        <v>W</v>
      </c>
      <c r="O20" t="str">
        <f>IF(M20="","",IF(COUNTIF(M$9:M20,M20)=1,MAX(O$8:O19)+1,""))</f>
        <v/>
      </c>
    </row>
    <row r="21" spans="1:15" x14ac:dyDescent="0.75">
      <c r="A21" s="24">
        <f>IF(N21="W",COUNTIF(N$9:N21,"W"),"")</f>
        <v>13</v>
      </c>
      <c r="B21" s="25" t="s">
        <v>38</v>
      </c>
      <c r="C21" s="25" t="s">
        <v>67</v>
      </c>
      <c r="D21" s="26" t="s">
        <v>73</v>
      </c>
      <c r="E21" s="25" t="s">
        <v>56</v>
      </c>
      <c r="F21" s="27">
        <v>459.38</v>
      </c>
      <c r="G21" s="28">
        <v>55000</v>
      </c>
      <c r="H21" s="28">
        <v>46458</v>
      </c>
      <c r="I21" s="29">
        <f t="shared" si="0"/>
        <v>101458</v>
      </c>
      <c r="J21" s="30">
        <f t="shared" si="1"/>
        <v>46607776.039999999</v>
      </c>
      <c r="K21" s="26"/>
      <c r="L21" s="24" t="str">
        <f>IF(N21="","",IF(N21="T","Título de capítulo",IF(OR(ISERROR(F21),ISERROR(G21),ISERROR(H21)),"Error en fórmula: pegá como valores",IF(AND(B21="",$C$6=""),"Falta sector",IF(M21="","Falta capítulo",IF(TRIM(E21)="","Falta unidad",IF(NOT((COUNTIF(Listas!$A$2:$A$40,E21)+COUNTIF(Listas!$D$2:$D$60,E21)&gt;0)),"Unidad no reconocida",IF(AND(F21&lt;&gt;"",NOT(ISNUMBER(F21))),"Cantidad no es número",IF(N(F21)&lt;=0,"Falta cantidad",IF(OR(AND(G21&lt;&gt;"",NOT(ISNUMBER(G21))),AND(H21&lt;&gt;"",NOT(ISNUMBER(H21)))),"Precio no es número",IF(N(G21)+N(H21)&lt;=0,"Falta precio","✓ OK")))))))))))</f>
        <v>✓ OK</v>
      </c>
      <c r="M21" t="str">
        <f>IF(N21&lt;&gt;"W","",IF(TRIM(C21)&lt;&gt;"",TRIM(C21),IFERROR(LOOKUP(2,1/(N$9:N21="T"),D$9:D21),"")))</f>
        <v>REVOQUES</v>
      </c>
      <c r="N21" t="str">
        <f t="shared" si="2"/>
        <v>W</v>
      </c>
      <c r="O21" t="str">
        <f>IF(M21="","",IF(COUNTIF(M$9:M21,M21)=1,MAX(O$8:O20)+1,""))</f>
        <v/>
      </c>
    </row>
    <row r="22" spans="1:15" x14ac:dyDescent="0.75">
      <c r="A22" s="24">
        <f>IF(N22="W",COUNTIF(N$9:N22,"W"),"")</f>
        <v>14</v>
      </c>
      <c r="B22" s="25" t="s">
        <v>38</v>
      </c>
      <c r="C22" s="25" t="s">
        <v>67</v>
      </c>
      <c r="D22" s="26" t="s">
        <v>74</v>
      </c>
      <c r="E22" s="25" t="s">
        <v>56</v>
      </c>
      <c r="F22" s="27">
        <v>459.38</v>
      </c>
      <c r="G22" s="28">
        <v>15000</v>
      </c>
      <c r="H22" s="28">
        <v>0</v>
      </c>
      <c r="I22" s="29">
        <f t="shared" si="0"/>
        <v>15000</v>
      </c>
      <c r="J22" s="30">
        <f t="shared" si="1"/>
        <v>6890700</v>
      </c>
      <c r="K22" s="26"/>
      <c r="L22" s="24" t="str">
        <f>IF(N22="","",IF(N22="T","Título de capítulo",IF(OR(ISERROR(F22),ISERROR(G22),ISERROR(H22)),"Error en fórmula: pegá como valores",IF(AND(B22="",$C$6=""),"Falta sector",IF(M22="","Falta capítulo",IF(TRIM(E22)="","Falta unidad",IF(NOT((COUNTIF(Listas!$A$2:$A$40,E22)+COUNTIF(Listas!$D$2:$D$60,E22)&gt;0)),"Unidad no reconocida",IF(AND(F22&lt;&gt;"",NOT(ISNUMBER(F22))),"Cantidad no es número",IF(N(F22)&lt;=0,"Falta cantidad",IF(OR(AND(G22&lt;&gt;"",NOT(ISNUMBER(G22))),AND(H22&lt;&gt;"",NOT(ISNUMBER(H22)))),"Precio no es número",IF(N(G22)+N(H22)&lt;=0,"Falta precio","✓ OK")))))))))))</f>
        <v>✓ OK</v>
      </c>
      <c r="M22" t="str">
        <f>IF(N22&lt;&gt;"W","",IF(TRIM(C22)&lt;&gt;"",TRIM(C22),IFERROR(LOOKUP(2,1/(N$9:N22="T"),D$9:D22),"")))</f>
        <v>REVOQUES</v>
      </c>
      <c r="N22" t="str">
        <f t="shared" si="2"/>
        <v>W</v>
      </c>
      <c r="O22" t="str">
        <f>IF(M22="","",IF(COUNTIF(M$9:M22,M22)=1,MAX(O$8:O21)+1,""))</f>
        <v/>
      </c>
    </row>
    <row r="23" spans="1:15" x14ac:dyDescent="0.75">
      <c r="A23" s="24">
        <f>IF(N23="W",COUNTIF(N$9:N23,"W"),"")</f>
        <v>15</v>
      </c>
      <c r="B23" s="25" t="s">
        <v>38</v>
      </c>
      <c r="C23" s="25" t="s">
        <v>67</v>
      </c>
      <c r="D23" s="26" t="s">
        <v>75</v>
      </c>
      <c r="E23" s="25" t="s">
        <v>61</v>
      </c>
      <c r="F23" s="27">
        <f>(29.65*12+19.31*7)*3</f>
        <v>1472.9099999999999</v>
      </c>
      <c r="G23" s="28">
        <v>25000</v>
      </c>
      <c r="H23" s="28">
        <v>13234</v>
      </c>
      <c r="I23" s="29">
        <f t="shared" si="0"/>
        <v>38234</v>
      </c>
      <c r="J23" s="30">
        <f t="shared" si="1"/>
        <v>56315240.939999998</v>
      </c>
      <c r="K23" s="26"/>
      <c r="L23" s="24" t="str">
        <f>IF(N23="","",IF(N23="T","Título de capítulo",IF(OR(ISERROR(F23),ISERROR(G23),ISERROR(H23)),"Error en fórmula: pegá como valores",IF(AND(B23="",$C$6=""),"Falta sector",IF(M23="","Falta capítulo",IF(TRIM(E23)="","Falta unidad",IF(NOT((COUNTIF(Listas!$A$2:$A$40,E23)+COUNTIF(Listas!$D$2:$D$60,E23)&gt;0)),"Unidad no reconocida",IF(AND(F23&lt;&gt;"",NOT(ISNUMBER(F23))),"Cantidad no es número",IF(N(F23)&lt;=0,"Falta cantidad",IF(OR(AND(G23&lt;&gt;"",NOT(ISNUMBER(G23))),AND(H23&lt;&gt;"",NOT(ISNUMBER(H23)))),"Precio no es número",IF(N(G23)+N(H23)&lt;=0,"Falta precio","✓ OK")))))))))))</f>
        <v>✓ OK</v>
      </c>
      <c r="M23" t="str">
        <f>IF(N23&lt;&gt;"W","",IF(TRIM(C23)&lt;&gt;"",TRIM(C23),IFERROR(LOOKUP(2,1/(N$9:N23="T"),D$9:D23),"")))</f>
        <v>REVOQUES</v>
      </c>
      <c r="N23" t="str">
        <f t="shared" si="2"/>
        <v>W</v>
      </c>
      <c r="O23" t="str">
        <f>IF(M23="","",IF(COUNTIF(M$9:M23,M23)=1,MAX(O$8:O22)+1,""))</f>
        <v/>
      </c>
    </row>
    <row r="24" spans="1:15" x14ac:dyDescent="0.75">
      <c r="A24" s="24">
        <f>IF(N24="W",COUNTIF(N$9:N24,"W"),"")</f>
        <v>16</v>
      </c>
      <c r="B24" s="25" t="s">
        <v>38</v>
      </c>
      <c r="C24" s="25" t="s">
        <v>67</v>
      </c>
      <c r="D24" s="26" t="s">
        <v>76</v>
      </c>
      <c r="E24" s="25" t="s">
        <v>61</v>
      </c>
      <c r="F24" s="27">
        <v>490.97</v>
      </c>
      <c r="G24" s="28">
        <f>(0.36+0.36+0.18)*15000</f>
        <v>13499.999999999998</v>
      </c>
      <c r="H24" s="28">
        <v>0</v>
      </c>
      <c r="I24" s="29">
        <f t="shared" si="0"/>
        <v>13499.999999999998</v>
      </c>
      <c r="J24" s="30">
        <f t="shared" si="1"/>
        <v>6628094.9999999991</v>
      </c>
      <c r="K24" s="26"/>
      <c r="L24" s="24" t="str">
        <f>IF(N24="","",IF(N24="T","Título de capítulo",IF(OR(ISERROR(F24),ISERROR(G24),ISERROR(H24)),"Error en fórmula: pegá como valores",IF(AND(B24="",$C$6=""),"Falta sector",IF(M24="","Falta capítulo",IF(TRIM(E24)="","Falta unidad",IF(NOT((COUNTIF(Listas!$A$2:$A$40,E24)+COUNTIF(Listas!$D$2:$D$60,E24)&gt;0)),"Unidad no reconocida",IF(AND(F24&lt;&gt;"",NOT(ISNUMBER(F24))),"Cantidad no es número",IF(N(F24)&lt;=0,"Falta cantidad",IF(OR(AND(G24&lt;&gt;"",NOT(ISNUMBER(G24))),AND(H24&lt;&gt;"",NOT(ISNUMBER(H24)))),"Precio no es número",IF(N(G24)+N(H24)&lt;=0,"Falta precio","✓ OK")))))))))))</f>
        <v>✓ OK</v>
      </c>
      <c r="M24" t="str">
        <f>IF(N24&lt;&gt;"W","",IF(TRIM(C24)&lt;&gt;"",TRIM(C24),IFERROR(LOOKUP(2,1/(N$9:N24="T"),D$9:D24),"")))</f>
        <v>REVOQUES</v>
      </c>
      <c r="N24" t="str">
        <f t="shared" si="2"/>
        <v>W</v>
      </c>
      <c r="O24" t="str">
        <f>IF(M24="","",IF(COUNTIF(M$9:M24,M24)=1,MAX(O$8:O23)+1,""))</f>
        <v/>
      </c>
    </row>
    <row r="25" spans="1:15" x14ac:dyDescent="0.75">
      <c r="A25" s="24">
        <f>IF(N25="W",COUNTIF(N$9:N25,"W"),"")</f>
        <v>17</v>
      </c>
      <c r="B25" s="25" t="s">
        <v>38</v>
      </c>
      <c r="C25" s="25" t="s">
        <v>67</v>
      </c>
      <c r="D25" s="26" t="s">
        <v>77</v>
      </c>
      <c r="E25" s="25" t="s">
        <v>61</v>
      </c>
      <c r="F25" s="27">
        <f>2.95*(2+2+2+2+2+2+4+4+4+3)</f>
        <v>79.650000000000006</v>
      </c>
      <c r="G25" s="28">
        <v>25000</v>
      </c>
      <c r="H25" s="28">
        <v>13234</v>
      </c>
      <c r="I25" s="29">
        <f t="shared" si="0"/>
        <v>38234</v>
      </c>
      <c r="J25" s="30">
        <f t="shared" si="1"/>
        <v>3045338.1</v>
      </c>
      <c r="K25" s="26"/>
      <c r="L25" s="24" t="str">
        <f>IF(N25="","",IF(N25="T","Título de capítulo",IF(OR(ISERROR(F25),ISERROR(G25),ISERROR(H25)),"Error en fórmula: pegá como valores",IF(AND(B25="",$C$6=""),"Falta sector",IF(M25="","Falta capítulo",IF(TRIM(E25)="","Falta unidad",IF(NOT((COUNTIF(Listas!$A$2:$A$40,E25)+COUNTIF(Listas!$D$2:$D$60,E25)&gt;0)),"Unidad no reconocida",IF(AND(F25&lt;&gt;"",NOT(ISNUMBER(F25))),"Cantidad no es número",IF(N(F25)&lt;=0,"Falta cantidad",IF(OR(AND(G25&lt;&gt;"",NOT(ISNUMBER(G25))),AND(H25&lt;&gt;"",NOT(ISNUMBER(H25)))),"Precio no es número",IF(N(G25)+N(H25)&lt;=0,"Falta precio","✓ OK")))))))))))</f>
        <v>✓ OK</v>
      </c>
      <c r="M25" t="str">
        <f>IF(N25&lt;&gt;"W","",IF(TRIM(C25)&lt;&gt;"",TRIM(C25),IFERROR(LOOKUP(2,1/(N$9:N25="T"),D$9:D25),"")))</f>
        <v>REVOQUES</v>
      </c>
      <c r="N25" t="str">
        <f t="shared" si="2"/>
        <v>W</v>
      </c>
      <c r="O25" t="str">
        <f>IF(M25="","",IF(COUNTIF(M$9:M25,M25)=1,MAX(O$8:O24)+1,""))</f>
        <v/>
      </c>
    </row>
    <row r="26" spans="1:15" x14ac:dyDescent="0.75">
      <c r="A26" s="24">
        <f>IF(N26="W",COUNTIF(N$9:N26,"W"),"")</f>
        <v>18</v>
      </c>
      <c r="B26" s="25" t="s">
        <v>38</v>
      </c>
      <c r="C26" s="25" t="s">
        <v>67</v>
      </c>
      <c r="D26" s="26" t="s">
        <v>78</v>
      </c>
      <c r="E26" s="25" t="s">
        <v>61</v>
      </c>
      <c r="F26" s="27">
        <f>2.95*(1+2+1+1+1+1+2+1+2+2+1+1)</f>
        <v>47.2</v>
      </c>
      <c r="G26" s="28">
        <v>40000</v>
      </c>
      <c r="H26" s="28">
        <v>26468</v>
      </c>
      <c r="I26" s="29">
        <f t="shared" si="0"/>
        <v>66468</v>
      </c>
      <c r="J26" s="30">
        <f t="shared" si="1"/>
        <v>3137289.6</v>
      </c>
      <c r="K26" s="26"/>
      <c r="L26" s="24" t="str">
        <f>IF(N26="","",IF(N26="T","Título de capítulo",IF(OR(ISERROR(F26),ISERROR(G26),ISERROR(H26)),"Error en fórmula: pegá como valores",IF(AND(B26="",$C$6=""),"Falta sector",IF(M26="","Falta capítulo",IF(TRIM(E26)="","Falta unidad",IF(NOT((COUNTIF(Listas!$A$2:$A$40,E26)+COUNTIF(Listas!$D$2:$D$60,E26)&gt;0)),"Unidad no reconocida",IF(AND(F26&lt;&gt;"",NOT(ISNUMBER(F26))),"Cantidad no es número",IF(N(F26)&lt;=0,"Falta cantidad",IF(OR(AND(G26&lt;&gt;"",NOT(ISNUMBER(G26))),AND(H26&lt;&gt;"",NOT(ISNUMBER(H26)))),"Precio no es número",IF(N(G26)+N(H26)&lt;=0,"Falta precio","✓ OK")))))))))))</f>
        <v>✓ OK</v>
      </c>
      <c r="M26" t="str">
        <f>IF(N26&lt;&gt;"W","",IF(TRIM(C26)&lt;&gt;"",TRIM(C26),IFERROR(LOOKUP(2,1/(N$9:N26="T"),D$9:D26),"")))</f>
        <v>REVOQUES</v>
      </c>
      <c r="N26" t="str">
        <f t="shared" si="2"/>
        <v>W</v>
      </c>
      <c r="O26" t="str">
        <f>IF(M26="","",IF(COUNTIF(M$9:M26,M26)=1,MAX(O$8:O25)+1,""))</f>
        <v/>
      </c>
    </row>
    <row r="27" spans="1:15" x14ac:dyDescent="0.75">
      <c r="A27" s="24">
        <f>IF(N27="W",COUNTIF(N$9:N27,"W"),"")</f>
        <v>19</v>
      </c>
      <c r="B27" s="25" t="s">
        <v>38</v>
      </c>
      <c r="C27" s="25" t="s">
        <v>67</v>
      </c>
      <c r="D27" s="26" t="s">
        <v>79</v>
      </c>
      <c r="E27" s="25" t="s">
        <v>61</v>
      </c>
      <c r="F27" s="27">
        <v>79.650000000000006</v>
      </c>
      <c r="G27" s="28">
        <f>0.4*10000</f>
        <v>4000</v>
      </c>
      <c r="H27" s="28">
        <v>0</v>
      </c>
      <c r="I27" s="29">
        <f t="shared" si="0"/>
        <v>4000</v>
      </c>
      <c r="J27" s="30">
        <f t="shared" si="1"/>
        <v>318600</v>
      </c>
      <c r="K27" s="26"/>
      <c r="L27" s="24" t="str">
        <f>IF(N27="","",IF(N27="T","Título de capítulo",IF(OR(ISERROR(F27),ISERROR(G27),ISERROR(H27)),"Error en fórmula: pegá como valores",IF(AND(B27="",$C$6=""),"Falta sector",IF(M27="","Falta capítulo",IF(TRIM(E27)="","Falta unidad",IF(NOT((COUNTIF(Listas!$A$2:$A$40,E27)+COUNTIF(Listas!$D$2:$D$60,E27)&gt;0)),"Unidad no reconocida",IF(AND(F27&lt;&gt;"",NOT(ISNUMBER(F27))),"Cantidad no es número",IF(N(F27)&lt;=0,"Falta cantidad",IF(OR(AND(G27&lt;&gt;"",NOT(ISNUMBER(G27))),AND(H27&lt;&gt;"",NOT(ISNUMBER(H27)))),"Precio no es número",IF(N(G27)+N(H27)&lt;=0,"Falta precio","✓ OK")))))))))))</f>
        <v>✓ OK</v>
      </c>
      <c r="M27" t="str">
        <f>IF(N27&lt;&gt;"W","",IF(TRIM(C27)&lt;&gt;"",TRIM(C27),IFERROR(LOOKUP(2,1/(N$9:N27="T"),D$9:D27),"")))</f>
        <v>REVOQUES</v>
      </c>
      <c r="N27" t="str">
        <f t="shared" si="2"/>
        <v>W</v>
      </c>
      <c r="O27" t="str">
        <f>IF(M27="","",IF(COUNTIF(M$9:M27,M27)=1,MAX(O$8:O26)+1,""))</f>
        <v/>
      </c>
    </row>
    <row r="28" spans="1:15" x14ac:dyDescent="0.75">
      <c r="A28" s="24">
        <f>IF(N28="W",COUNTIF(N$9:N28,"W"),"")</f>
        <v>20</v>
      </c>
      <c r="B28" s="25" t="s">
        <v>38</v>
      </c>
      <c r="C28" s="25" t="s">
        <v>67</v>
      </c>
      <c r="D28" s="26" t="s">
        <v>80</v>
      </c>
      <c r="E28" s="25" t="s">
        <v>61</v>
      </c>
      <c r="F28" s="27">
        <v>47.2</v>
      </c>
      <c r="G28" s="28">
        <f>0.8*10000</f>
        <v>8000</v>
      </c>
      <c r="H28" s="28">
        <v>0</v>
      </c>
      <c r="I28" s="29">
        <f t="shared" si="0"/>
        <v>8000</v>
      </c>
      <c r="J28" s="30">
        <f t="shared" si="1"/>
        <v>377600</v>
      </c>
      <c r="K28" s="26"/>
      <c r="L28" s="24" t="str">
        <f>IF(N28="","",IF(N28="T","Título de capítulo",IF(OR(ISERROR(F28),ISERROR(G28),ISERROR(H28)),"Error en fórmula: pegá como valores",IF(AND(B28="",$C$6=""),"Falta sector",IF(M28="","Falta capítulo",IF(TRIM(E28)="","Falta unidad",IF(NOT((COUNTIF(Listas!$A$2:$A$40,E28)+COUNTIF(Listas!$D$2:$D$60,E28)&gt;0)),"Unidad no reconocida",IF(AND(F28&lt;&gt;"",NOT(ISNUMBER(F28))),"Cantidad no es número",IF(N(F28)&lt;=0,"Falta cantidad",IF(OR(AND(G28&lt;&gt;"",NOT(ISNUMBER(G28))),AND(H28&lt;&gt;"",NOT(ISNUMBER(H28)))),"Precio no es número",IF(N(G28)+N(H28)&lt;=0,"Falta precio","✓ OK")))))))))))</f>
        <v>✓ OK</v>
      </c>
      <c r="M28" t="str">
        <f>IF(N28&lt;&gt;"W","",IF(TRIM(C28)&lt;&gt;"",TRIM(C28),IFERROR(LOOKUP(2,1/(N$9:N28="T"),D$9:D28),"")))</f>
        <v>REVOQUES</v>
      </c>
      <c r="N28" t="str">
        <f t="shared" si="2"/>
        <v>W</v>
      </c>
      <c r="O28" t="str">
        <f>IF(M28="","",IF(COUNTIF(M$9:M28,M28)=1,MAX(O$8:O27)+1,""))</f>
        <v/>
      </c>
    </row>
    <row r="29" spans="1:15" x14ac:dyDescent="0.75">
      <c r="A29" s="24">
        <f>IF(N29="W",COUNTIF(N$9:N29,"W"),"")</f>
        <v>21</v>
      </c>
      <c r="B29" s="25" t="s">
        <v>38</v>
      </c>
      <c r="C29" s="25" t="s">
        <v>67</v>
      </c>
      <c r="D29" s="26" t="s">
        <v>81</v>
      </c>
      <c r="E29" s="25" t="s">
        <v>56</v>
      </c>
      <c r="F29" s="27">
        <f>21.96*3</f>
        <v>65.88</v>
      </c>
      <c r="G29" s="28">
        <v>65000</v>
      </c>
      <c r="H29" s="28">
        <v>35000</v>
      </c>
      <c r="I29" s="29">
        <f t="shared" si="0"/>
        <v>100000</v>
      </c>
      <c r="J29" s="30">
        <f t="shared" si="1"/>
        <v>6588000</v>
      </c>
      <c r="K29" s="26"/>
      <c r="L29" s="24" t="str">
        <f>IF(N29="","",IF(N29="T","Título de capítulo",IF(OR(ISERROR(F29),ISERROR(G29),ISERROR(H29)),"Error en fórmula: pegá como valores",IF(AND(B29="",$C$6=""),"Falta sector",IF(M29="","Falta capítulo",IF(TRIM(E29)="","Falta unidad",IF(NOT((COUNTIF(Listas!$A$2:$A$40,E29)+COUNTIF(Listas!$D$2:$D$60,E29)&gt;0)),"Unidad no reconocida",IF(AND(F29&lt;&gt;"",NOT(ISNUMBER(F29))),"Cantidad no es número",IF(N(F29)&lt;=0,"Falta cantidad",IF(OR(AND(G29&lt;&gt;"",NOT(ISNUMBER(G29))),AND(H29&lt;&gt;"",NOT(ISNUMBER(H29)))),"Precio no es número",IF(N(G29)+N(H29)&lt;=0,"Falta precio","✓ OK")))))))))))</f>
        <v>✓ OK</v>
      </c>
      <c r="M29" t="str">
        <f>IF(N29&lt;&gt;"W","",IF(TRIM(C29)&lt;&gt;"",TRIM(C29),IFERROR(LOOKUP(2,1/(N$9:N29="T"),D$9:D29),"")))</f>
        <v>REVOQUES</v>
      </c>
      <c r="N29" t="str">
        <f t="shared" si="2"/>
        <v>W</v>
      </c>
      <c r="O29" t="str">
        <f>IF(M29="","",IF(COUNTIF(M$9:M29,M29)=1,MAX(O$8:O28)+1,""))</f>
        <v/>
      </c>
    </row>
    <row r="30" spans="1:15" x14ac:dyDescent="0.75">
      <c r="A30" s="24">
        <f>IF(N30="W",COUNTIF(N$9:N30,"W"),"")</f>
        <v>22</v>
      </c>
      <c r="B30" s="25" t="s">
        <v>38</v>
      </c>
      <c r="C30" s="25" t="s">
        <v>67</v>
      </c>
      <c r="D30" s="26" t="s">
        <v>82</v>
      </c>
      <c r="E30" s="25" t="s">
        <v>83</v>
      </c>
      <c r="F30" s="27">
        <v>1</v>
      </c>
      <c r="G30" s="28">
        <v>1500000</v>
      </c>
      <c r="H30" s="28">
        <f>13234*84.88</f>
        <v>1123301.92</v>
      </c>
      <c r="I30" s="29">
        <f t="shared" si="0"/>
        <v>2623301.92</v>
      </c>
      <c r="J30" s="30">
        <f t="shared" si="1"/>
        <v>2623301.92</v>
      </c>
      <c r="K30" s="26"/>
      <c r="L30" s="24" t="str">
        <f>IF(N30="","",IF(N30="T","Título de capítulo",IF(OR(ISERROR(F30),ISERROR(G30),ISERROR(H30)),"Error en fórmula: pegá como valores",IF(AND(B30="",$C$6=""),"Falta sector",IF(M30="","Falta capítulo",IF(TRIM(E30)="","Falta unidad",IF(NOT((COUNTIF(Listas!$A$2:$A$40,E30)+COUNTIF(Listas!$D$2:$D$60,E30)&gt;0)),"Unidad no reconocida",IF(AND(F30&lt;&gt;"",NOT(ISNUMBER(F30))),"Cantidad no es número",IF(N(F30)&lt;=0,"Falta cantidad",IF(OR(AND(G30&lt;&gt;"",NOT(ISNUMBER(G30))),AND(H30&lt;&gt;"",NOT(ISNUMBER(H30)))),"Precio no es número",IF(N(G30)+N(H30)&lt;=0,"Falta precio","✓ OK")))))))))))</f>
        <v>✓ OK</v>
      </c>
      <c r="M30" t="str">
        <f>IF(N30&lt;&gt;"W","",IF(TRIM(C30)&lt;&gt;"",TRIM(C30),IFERROR(LOOKUP(2,1/(N$9:N30="T"),D$9:D30),"")))</f>
        <v>REVOQUES</v>
      </c>
      <c r="N30" t="str">
        <f t="shared" si="2"/>
        <v>W</v>
      </c>
      <c r="O30" t="str">
        <f>IF(M30="","",IF(COUNTIF(M$9:M30,M30)=1,MAX(O$8:O29)+1,""))</f>
        <v/>
      </c>
    </row>
    <row r="31" spans="1:15" x14ac:dyDescent="0.75">
      <c r="A31" s="24">
        <f>IF(N31="W",COUNTIF(N$9:N31,"W"),"")</f>
        <v>23</v>
      </c>
      <c r="B31" s="25" t="s">
        <v>38</v>
      </c>
      <c r="C31" s="25" t="s">
        <v>67</v>
      </c>
      <c r="D31" s="26" t="s">
        <v>84</v>
      </c>
      <c r="E31" s="25" t="s">
        <v>61</v>
      </c>
      <c r="F31" s="27">
        <f>21.96*2</f>
        <v>43.92</v>
      </c>
      <c r="G31" s="28">
        <v>20000</v>
      </c>
      <c r="H31" s="28">
        <v>0</v>
      </c>
      <c r="I31" s="29">
        <f t="shared" si="0"/>
        <v>20000</v>
      </c>
      <c r="J31" s="30">
        <f t="shared" si="1"/>
        <v>878400</v>
      </c>
      <c r="K31" s="26"/>
      <c r="L31" s="24" t="str">
        <f>IF(N31="","",IF(N31="T","Título de capítulo",IF(OR(ISERROR(F31),ISERROR(G31),ISERROR(H31)),"Error en fórmula: pegá como valores",IF(AND(B31="",$C$6=""),"Falta sector",IF(M31="","Falta capítulo",IF(TRIM(E31)="","Falta unidad",IF(NOT((COUNTIF(Listas!$A$2:$A$40,E31)+COUNTIF(Listas!$D$2:$D$60,E31)&gt;0)),"Unidad no reconocida",IF(AND(F31&lt;&gt;"",NOT(ISNUMBER(F31))),"Cantidad no es número",IF(N(F31)&lt;=0,"Falta cantidad",IF(OR(AND(G31&lt;&gt;"",NOT(ISNUMBER(G31))),AND(H31&lt;&gt;"",NOT(ISNUMBER(H31)))),"Precio no es número",IF(N(G31)+N(H31)&lt;=0,"Falta precio","✓ OK")))))))))))</f>
        <v>✓ OK</v>
      </c>
      <c r="M31" t="str">
        <f>IF(N31&lt;&gt;"W","",IF(TRIM(C31)&lt;&gt;"",TRIM(C31),IFERROR(LOOKUP(2,1/(N$9:N31="T"),D$9:D31),"")))</f>
        <v>REVOQUES</v>
      </c>
      <c r="N31" t="str">
        <f t="shared" si="2"/>
        <v>W</v>
      </c>
      <c r="O31" t="str">
        <f>IF(M31="","",IF(COUNTIF(M$9:M31,M31)=1,MAX(O$8:O30)+1,""))</f>
        <v/>
      </c>
    </row>
    <row r="32" spans="1:15" x14ac:dyDescent="0.75">
      <c r="A32" s="24">
        <f>IF(N32="W",COUNTIF(N$9:N32,"W"),"")</f>
        <v>24</v>
      </c>
      <c r="B32" s="25" t="s">
        <v>38</v>
      </c>
      <c r="C32" s="25" t="s">
        <v>67</v>
      </c>
      <c r="D32" s="26" t="s">
        <v>85</v>
      </c>
      <c r="E32" s="25" t="s">
        <v>61</v>
      </c>
      <c r="F32" s="27">
        <f>19.5*2*2+3*4*2+(3.68*2*2)+5.58*2*2+6.49*2*2+3*6+3*7</f>
        <v>204</v>
      </c>
      <c r="G32" s="28">
        <v>20000</v>
      </c>
      <c r="H32" s="28">
        <v>35000</v>
      </c>
      <c r="I32" s="29">
        <f t="shared" si="0"/>
        <v>55000</v>
      </c>
      <c r="J32" s="30">
        <f t="shared" si="1"/>
        <v>11220000</v>
      </c>
      <c r="K32" s="26"/>
      <c r="L32" s="24" t="str">
        <f>IF(N32="","",IF(N32="T","Título de capítulo",IF(OR(ISERROR(F32),ISERROR(G32),ISERROR(H32)),"Error en fórmula: pegá como valores",IF(AND(B32="",$C$6=""),"Falta sector",IF(M32="","Falta capítulo",IF(TRIM(E32)="","Falta unidad",IF(NOT((COUNTIF(Listas!$A$2:$A$40,E32)+COUNTIF(Listas!$D$2:$D$60,E32)&gt;0)),"Unidad no reconocida",IF(AND(F32&lt;&gt;"",NOT(ISNUMBER(F32))),"Cantidad no es número",IF(N(F32)&lt;=0,"Falta cantidad",IF(OR(AND(G32&lt;&gt;"",NOT(ISNUMBER(G32))),AND(H32&lt;&gt;"",NOT(ISNUMBER(H32)))),"Precio no es número",IF(N(G32)+N(H32)&lt;=0,"Falta precio","✓ OK")))))))))))</f>
        <v>✓ OK</v>
      </c>
      <c r="M32" t="str">
        <f>IF(N32&lt;&gt;"W","",IF(TRIM(C32)&lt;&gt;"",TRIM(C32),IFERROR(LOOKUP(2,1/(N$9:N32="T"),D$9:D32),"")))</f>
        <v>REVOQUES</v>
      </c>
      <c r="N32" t="str">
        <f t="shared" si="2"/>
        <v>W</v>
      </c>
      <c r="O32" t="str">
        <f>IF(M32="","",IF(COUNTIF(M$9:M32,M32)=1,MAX(O$8:O31)+1,""))</f>
        <v/>
      </c>
    </row>
    <row r="33" spans="1:15" x14ac:dyDescent="0.75">
      <c r="A33" s="24">
        <f>IF(N33="W",COUNTIF(N$9:N33,"W"),"")</f>
        <v>25</v>
      </c>
      <c r="B33" s="25" t="s">
        <v>38</v>
      </c>
      <c r="C33" s="25" t="s">
        <v>86</v>
      </c>
      <c r="D33" s="26" t="s">
        <v>87</v>
      </c>
      <c r="E33" s="25" t="s">
        <v>56</v>
      </c>
      <c r="F33" s="27">
        <f>5.15*3.4+2.15*3.4+109.13</f>
        <v>133.94999999999999</v>
      </c>
      <c r="G33" s="28">
        <f>35000+13000</f>
        <v>48000</v>
      </c>
      <c r="H33" s="28">
        <v>17500</v>
      </c>
      <c r="I33" s="29">
        <f t="shared" si="0"/>
        <v>65500</v>
      </c>
      <c r="J33" s="30">
        <f t="shared" si="1"/>
        <v>8773725</v>
      </c>
      <c r="K33" s="26"/>
      <c r="L33" s="24" t="str">
        <f>IF(N33="","",IF(N33="T","Título de capítulo",IF(OR(ISERROR(F33),ISERROR(G33),ISERROR(H33)),"Error en fórmula: pegá como valores",IF(AND(B33="",$C$6=""),"Falta sector",IF(M33="","Falta capítulo",IF(TRIM(E33)="","Falta unidad",IF(NOT((COUNTIF(Listas!$A$2:$A$40,E33)+COUNTIF(Listas!$D$2:$D$60,E33)&gt;0)),"Unidad no reconocida",IF(AND(F33&lt;&gt;"",NOT(ISNUMBER(F33))),"Cantidad no es número",IF(N(F33)&lt;=0,"Falta cantidad",IF(OR(AND(G33&lt;&gt;"",NOT(ISNUMBER(G33))),AND(H33&lt;&gt;"",NOT(ISNUMBER(H33)))),"Precio no es número",IF(N(G33)+N(H33)&lt;=0,"Falta precio","✓ OK")))))))))))</f>
        <v>✓ OK</v>
      </c>
      <c r="M33" t="str">
        <f>IF(N33&lt;&gt;"W","",IF(TRIM(C33)&lt;&gt;"",TRIM(C33),IFERROR(LOOKUP(2,1/(N$9:N33="T"),D$9:D33),"")))</f>
        <v>CONTRAPISOS Y CARPETAS</v>
      </c>
      <c r="N33" t="str">
        <f t="shared" si="2"/>
        <v>W</v>
      </c>
      <c r="O33">
        <f>IF(M33="","",IF(COUNTIF(M$9:M33,M33)=1,MAX(O$8:O32)+1,""))</f>
        <v>4</v>
      </c>
    </row>
    <row r="34" spans="1:15" x14ac:dyDescent="0.75">
      <c r="A34" s="24">
        <f>IF(N34="W",COUNTIF(N$9:N34,"W"),"")</f>
        <v>26</v>
      </c>
      <c r="B34" s="25" t="s">
        <v>38</v>
      </c>
      <c r="C34" s="25" t="s">
        <v>86</v>
      </c>
      <c r="D34" s="26" t="s">
        <v>88</v>
      </c>
      <c r="E34" s="25" t="s">
        <v>56</v>
      </c>
      <c r="F34" s="27">
        <v>133.94999999999999</v>
      </c>
      <c r="G34" s="28">
        <v>40000</v>
      </c>
      <c r="H34" s="28">
        <v>20500</v>
      </c>
      <c r="I34" s="29">
        <f t="shared" si="0"/>
        <v>60500</v>
      </c>
      <c r="J34" s="30">
        <f t="shared" si="1"/>
        <v>8103974.9999999991</v>
      </c>
      <c r="K34" s="26"/>
      <c r="L34" s="24" t="str">
        <f>IF(N34="","",IF(N34="T","Título de capítulo",IF(OR(ISERROR(F34),ISERROR(G34),ISERROR(H34)),"Error en fórmula: pegá como valores",IF(AND(B34="",$C$6=""),"Falta sector",IF(M34="","Falta capítulo",IF(TRIM(E34)="","Falta unidad",IF(NOT((COUNTIF(Listas!$A$2:$A$40,E34)+COUNTIF(Listas!$D$2:$D$60,E34)&gt;0)),"Unidad no reconocida",IF(AND(F34&lt;&gt;"",NOT(ISNUMBER(F34))),"Cantidad no es número",IF(N(F34)&lt;=0,"Falta cantidad",IF(OR(AND(G34&lt;&gt;"",NOT(ISNUMBER(G34))),AND(H34&lt;&gt;"",NOT(ISNUMBER(H34)))),"Precio no es número",IF(N(G34)+N(H34)&lt;=0,"Falta precio","✓ OK")))))))))))</f>
        <v>✓ OK</v>
      </c>
      <c r="M34" t="str">
        <f>IF(N34&lt;&gt;"W","",IF(TRIM(C34)&lt;&gt;"",TRIM(C34),IFERROR(LOOKUP(2,1/(N$9:N34="T"),D$9:D34),"")))</f>
        <v>CONTRAPISOS Y CARPETAS</v>
      </c>
      <c r="N34" t="str">
        <f t="shared" si="2"/>
        <v>W</v>
      </c>
      <c r="O34" t="str">
        <f>IF(M34="","",IF(COUNTIF(M$9:M34,M34)=1,MAX(O$8:O33)+1,""))</f>
        <v/>
      </c>
    </row>
    <row r="35" spans="1:15" x14ac:dyDescent="0.75">
      <c r="A35" s="24">
        <f>IF(N35="W",COUNTIF(N$9:N35,"W"),"")</f>
        <v>27</v>
      </c>
      <c r="B35" s="25" t="s">
        <v>38</v>
      </c>
      <c r="C35" s="25" t="s">
        <v>89</v>
      </c>
      <c r="D35" s="26" t="s">
        <v>90</v>
      </c>
      <c r="E35" s="25" t="s">
        <v>91</v>
      </c>
      <c r="F35" s="27">
        <v>48.41</v>
      </c>
      <c r="G35" s="28">
        <v>233333</v>
      </c>
      <c r="H35" s="28">
        <v>0</v>
      </c>
      <c r="I35" s="29">
        <f t="shared" si="0"/>
        <v>233333</v>
      </c>
      <c r="J35" s="30">
        <f t="shared" si="1"/>
        <v>11295650.529999999</v>
      </c>
      <c r="K35" s="26"/>
      <c r="L35" s="24" t="str">
        <f>IF(N35="","",IF(N35="T","Título de capítulo",IF(OR(ISERROR(F35),ISERROR(G35),ISERROR(H35)),"Error en fórmula: pegá como valores",IF(AND(B35="",$C$6=""),"Falta sector",IF(M35="","Falta capítulo",IF(TRIM(E35)="","Falta unidad",IF(NOT((COUNTIF(Listas!$A$2:$A$40,E35)+COUNTIF(Listas!$D$2:$D$60,E35)&gt;0)),"Unidad no reconocida",IF(AND(F35&lt;&gt;"",NOT(ISNUMBER(F35))),"Cantidad no es número",IF(N(F35)&lt;=0,"Falta cantidad",IF(OR(AND(G35&lt;&gt;"",NOT(ISNUMBER(G35))),AND(H35&lt;&gt;"",NOT(ISNUMBER(H35)))),"Precio no es número",IF(N(G35)+N(H35)&lt;=0,"Falta precio","✓ OK")))))))))))</f>
        <v>✓ OK</v>
      </c>
      <c r="M35" t="str">
        <f>IF(N35&lt;&gt;"W","",IF(TRIM(C35)&lt;&gt;"",TRIM(C35),IFERROR(LOOKUP(2,1/(N$9:N35="T"),D$9:D35),"")))</f>
        <v>AYUDA DE GREMIOS</v>
      </c>
      <c r="N35" t="str">
        <f t="shared" si="2"/>
        <v>W</v>
      </c>
      <c r="O35">
        <f>IF(M35="","",IF(COUNTIF(M$9:M35,M35)=1,MAX(O$8:O34)+1,""))</f>
        <v>5</v>
      </c>
    </row>
    <row r="36" spans="1:15" x14ac:dyDescent="0.75">
      <c r="A36" s="24">
        <f>IF(N36="W",COUNTIF(N$9:N36,"W"),"")</f>
        <v>28</v>
      </c>
      <c r="B36" s="25" t="s">
        <v>38</v>
      </c>
      <c r="C36" s="25" t="s">
        <v>89</v>
      </c>
      <c r="D36" s="26" t="s">
        <v>92</v>
      </c>
      <c r="E36" s="25" t="s">
        <v>93</v>
      </c>
      <c r="F36" s="27">
        <v>1</v>
      </c>
      <c r="G36" s="28">
        <v>440000</v>
      </c>
      <c r="H36" s="28">
        <v>500000</v>
      </c>
      <c r="I36" s="29">
        <f t="shared" si="0"/>
        <v>940000</v>
      </c>
      <c r="J36" s="30">
        <f t="shared" si="1"/>
        <v>940000</v>
      </c>
      <c r="K36" s="26"/>
      <c r="L36" s="24" t="str">
        <f>IF(N36="","",IF(N36="T","Título de capítulo",IF(OR(ISERROR(F36),ISERROR(G36),ISERROR(H36)),"Error en fórmula: pegá como valores",IF(AND(B36="",$C$6=""),"Falta sector",IF(M36="","Falta capítulo",IF(TRIM(E36)="","Falta unidad",IF(NOT((COUNTIF(Listas!$A$2:$A$40,E36)+COUNTIF(Listas!$D$2:$D$60,E36)&gt;0)),"Unidad no reconocida",IF(AND(F36&lt;&gt;"",NOT(ISNUMBER(F36))),"Cantidad no es número",IF(N(F36)&lt;=0,"Falta cantidad",IF(OR(AND(G36&lt;&gt;"",NOT(ISNUMBER(G36))),AND(H36&lt;&gt;"",NOT(ISNUMBER(H36)))),"Precio no es número",IF(N(G36)+N(H36)&lt;=0,"Falta precio","✓ OK")))))))))))</f>
        <v>✓ OK</v>
      </c>
      <c r="M36" t="str">
        <f>IF(N36&lt;&gt;"W","",IF(TRIM(C36)&lt;&gt;"",TRIM(C36),IFERROR(LOOKUP(2,1/(N$9:N36="T"),D$9:D36),"")))</f>
        <v>AYUDA DE GREMIOS</v>
      </c>
      <c r="N36" t="str">
        <f t="shared" si="2"/>
        <v>W</v>
      </c>
      <c r="O36" t="str">
        <f>IF(M36="","",IF(COUNTIF(M$9:M36,M36)=1,MAX(O$8:O35)+1,""))</f>
        <v/>
      </c>
    </row>
    <row r="37" spans="1:15" x14ac:dyDescent="0.75">
      <c r="A37" s="24">
        <f>IF(N37="W",COUNTIF(N$9:N37,"W"),"")</f>
        <v>29</v>
      </c>
      <c r="B37" s="25" t="s">
        <v>38</v>
      </c>
      <c r="C37" s="25" t="s">
        <v>89</v>
      </c>
      <c r="D37" s="26" t="s">
        <v>94</v>
      </c>
      <c r="E37" s="25" t="s">
        <v>83</v>
      </c>
      <c r="F37" s="27">
        <v>1</v>
      </c>
      <c r="G37" s="28">
        <v>0</v>
      </c>
      <c r="H37" s="28">
        <v>1800000</v>
      </c>
      <c r="I37" s="29">
        <f t="shared" si="0"/>
        <v>1800000</v>
      </c>
      <c r="J37" s="30">
        <f t="shared" si="1"/>
        <v>1800000</v>
      </c>
      <c r="K37" s="26"/>
      <c r="L37" s="24" t="str">
        <f>IF(N37="","",IF(N37="T","Título de capítulo",IF(OR(ISERROR(F37),ISERROR(G37),ISERROR(H37)),"Error en fórmula: pegá como valores",IF(AND(B37="",$C$6=""),"Falta sector",IF(M37="","Falta capítulo",IF(TRIM(E37)="","Falta unidad",IF(NOT((COUNTIF(Listas!$A$2:$A$40,E37)+COUNTIF(Listas!$D$2:$D$60,E37)&gt;0)),"Unidad no reconocida",IF(AND(F37&lt;&gt;"",NOT(ISNUMBER(F37))),"Cantidad no es número",IF(N(F37)&lt;=0,"Falta cantidad",IF(OR(AND(G37&lt;&gt;"",NOT(ISNUMBER(G37))),AND(H37&lt;&gt;"",NOT(ISNUMBER(H37)))),"Precio no es número",IF(N(G37)+N(H37)&lt;=0,"Falta precio","✓ OK")))))))))))</f>
        <v>✓ OK</v>
      </c>
      <c r="M37" t="str">
        <f>IF(N37&lt;&gt;"W","",IF(TRIM(C37)&lt;&gt;"",TRIM(C37),IFERROR(LOOKUP(2,1/(N$9:N37="T"),D$9:D37),"")))</f>
        <v>AYUDA DE GREMIOS</v>
      </c>
      <c r="N37" t="str">
        <f t="shared" si="2"/>
        <v>W</v>
      </c>
      <c r="O37" t="str">
        <f>IF(M37="","",IF(COUNTIF(M$9:M37,M37)=1,MAX(O$8:O36)+1,""))</f>
        <v/>
      </c>
    </row>
    <row r="38" spans="1:15" x14ac:dyDescent="0.75">
      <c r="A38" s="24" t="str">
        <f>IF(N38="W",COUNTIF(N$9:N38,"W"),"")</f>
        <v/>
      </c>
      <c r="B38" s="25"/>
      <c r="C38" s="25"/>
      <c r="D38" s="26"/>
      <c r="E38" s="25"/>
      <c r="F38" s="27"/>
      <c r="G38" s="28"/>
      <c r="H38" s="28"/>
      <c r="I38" s="29" t="str">
        <f t="shared" si="0"/>
        <v/>
      </c>
      <c r="J38" s="30" t="str">
        <f t="shared" si="1"/>
        <v/>
      </c>
      <c r="K38" s="26"/>
      <c r="L38" s="24" t="str">
        <f>IF(N38="","",IF(N38="T","Título de capítulo",IF(OR(ISERROR(F38),ISERROR(G38),ISERROR(H38)),"Error en fórmula: pegá como valores",IF(AND(B38="",$C$6=""),"Falta sector",IF(M38="","Falta capítulo",IF(TRIM(E38)="","Falta unidad",IF(NOT((COUNTIF(Listas!$A$2:$A$40,E38)+COUNTIF(Listas!$D$2:$D$60,E38)&gt;0)),"Unidad no reconocida",IF(AND(F38&lt;&gt;"",NOT(ISNUMBER(F38))),"Cantidad no es número",IF(N(F38)&lt;=0,"Falta cantidad",IF(OR(AND(G38&lt;&gt;"",NOT(ISNUMBER(G38))),AND(H38&lt;&gt;"",NOT(ISNUMBER(H38)))),"Precio no es número",IF(N(G38)+N(H38)&lt;=0,"Falta precio","✓ OK")))))))))))</f>
        <v/>
      </c>
      <c r="M38" t="str">
        <f>IF(N38&lt;&gt;"W","",IF(TRIM(C38)&lt;&gt;"",TRIM(C38),IFERROR(LOOKUP(2,1/(N$9:N38="T"),D$9:D38),"")))</f>
        <v/>
      </c>
      <c r="N38" t="str">
        <f t="shared" si="2"/>
        <v/>
      </c>
      <c r="O38" t="str">
        <f>IF(M38="","",IF(COUNTIF(M$9:M38,M38)=1,MAX(O$8:O37)+1,""))</f>
        <v/>
      </c>
    </row>
    <row r="39" spans="1:15" x14ac:dyDescent="0.75">
      <c r="A39" s="24" t="str">
        <f>IF(N39="W",COUNTIF(N$9:N39,"W"),"")</f>
        <v/>
      </c>
      <c r="B39" s="25"/>
      <c r="C39" s="25"/>
      <c r="D39" s="26"/>
      <c r="E39" s="25"/>
      <c r="F39" s="27"/>
      <c r="G39" s="28"/>
      <c r="H39" s="28"/>
      <c r="I39" s="29" t="str">
        <f t="shared" si="0"/>
        <v/>
      </c>
      <c r="J39" s="30" t="str">
        <f t="shared" si="1"/>
        <v/>
      </c>
      <c r="K39" s="26"/>
      <c r="L39" s="24" t="str">
        <f>IF(N39="","",IF(N39="T","Título de capítulo",IF(OR(ISERROR(F39),ISERROR(G39),ISERROR(H39)),"Error en fórmula: pegá como valores",IF(AND(B39="",$C$6=""),"Falta sector",IF(M39="","Falta capítulo",IF(TRIM(E39)="","Falta unidad",IF(NOT((COUNTIF(Listas!$A$2:$A$40,E39)+COUNTIF(Listas!$D$2:$D$60,E39)&gt;0)),"Unidad no reconocida",IF(AND(F39&lt;&gt;"",NOT(ISNUMBER(F39))),"Cantidad no es número",IF(N(F39)&lt;=0,"Falta cantidad",IF(OR(AND(G39&lt;&gt;"",NOT(ISNUMBER(G39))),AND(H39&lt;&gt;"",NOT(ISNUMBER(H39)))),"Precio no es número",IF(N(G39)+N(H39)&lt;=0,"Falta precio","✓ OK")))))))))))</f>
        <v/>
      </c>
      <c r="M39" t="str">
        <f>IF(N39&lt;&gt;"W","",IF(TRIM(C39)&lt;&gt;"",TRIM(C39),IFERROR(LOOKUP(2,1/(N$9:N39="T"),D$9:D39),"")))</f>
        <v/>
      </c>
      <c r="N39" t="str">
        <f t="shared" si="2"/>
        <v/>
      </c>
      <c r="O39" t="str">
        <f>IF(M39="","",IF(COUNTIF(M$9:M39,M39)=1,MAX(O$8:O38)+1,""))</f>
        <v/>
      </c>
    </row>
    <row r="40" spans="1:15" x14ac:dyDescent="0.75">
      <c r="A40" s="24" t="str">
        <f>IF(N40="W",COUNTIF(N$9:N40,"W"),"")</f>
        <v/>
      </c>
      <c r="B40" s="25"/>
      <c r="C40" s="25"/>
      <c r="D40" s="26"/>
      <c r="E40" s="25"/>
      <c r="F40" s="27"/>
      <c r="G40" s="28"/>
      <c r="H40" s="28"/>
      <c r="I40" s="29" t="str">
        <f t="shared" si="0"/>
        <v/>
      </c>
      <c r="J40" s="30" t="str">
        <f t="shared" si="1"/>
        <v/>
      </c>
      <c r="K40" s="26"/>
      <c r="L40" s="24" t="str">
        <f>IF(N40="","",IF(N40="T","Título de capítulo",IF(OR(ISERROR(F40),ISERROR(G40),ISERROR(H40)),"Error en fórmula: pegá como valores",IF(AND(B40="",$C$6=""),"Falta sector",IF(M40="","Falta capítulo",IF(TRIM(E40)="","Falta unidad",IF(NOT((COUNTIF(Listas!$A$2:$A$40,E40)+COUNTIF(Listas!$D$2:$D$60,E40)&gt;0)),"Unidad no reconocida",IF(AND(F40&lt;&gt;"",NOT(ISNUMBER(F40))),"Cantidad no es número",IF(N(F40)&lt;=0,"Falta cantidad",IF(OR(AND(G40&lt;&gt;"",NOT(ISNUMBER(G40))),AND(H40&lt;&gt;"",NOT(ISNUMBER(H40)))),"Precio no es número",IF(N(G40)+N(H40)&lt;=0,"Falta precio","✓ OK")))))))))))</f>
        <v/>
      </c>
      <c r="M40" t="str">
        <f>IF(N40&lt;&gt;"W","",IF(TRIM(C40)&lt;&gt;"",TRIM(C40),IFERROR(LOOKUP(2,1/(N$9:N40="T"),D$9:D40),"")))</f>
        <v/>
      </c>
      <c r="N40" t="str">
        <f t="shared" si="2"/>
        <v/>
      </c>
      <c r="O40" t="str">
        <f>IF(M40="","",IF(COUNTIF(M$9:M40,M40)=1,MAX(O$8:O39)+1,""))</f>
        <v/>
      </c>
    </row>
    <row r="41" spans="1:15" x14ac:dyDescent="0.75">
      <c r="A41" s="24" t="str">
        <f>IF(N41="W",COUNTIF(N$9:N41,"W"),"")</f>
        <v/>
      </c>
      <c r="B41" s="25"/>
      <c r="C41" s="25"/>
      <c r="D41" s="26"/>
      <c r="E41" s="25"/>
      <c r="F41" s="27"/>
      <c r="G41" s="28"/>
      <c r="H41" s="28"/>
      <c r="I41" s="29" t="str">
        <f t="shared" si="0"/>
        <v/>
      </c>
      <c r="J41" s="30" t="str">
        <f t="shared" si="1"/>
        <v/>
      </c>
      <c r="K41" s="26"/>
      <c r="L41" s="24" t="str">
        <f>IF(N41="","",IF(N41="T","Título de capítulo",IF(OR(ISERROR(F41),ISERROR(G41),ISERROR(H41)),"Error en fórmula: pegá como valores",IF(AND(B41="",$C$6=""),"Falta sector",IF(M41="","Falta capítulo",IF(TRIM(E41)="","Falta unidad",IF(NOT((COUNTIF(Listas!$A$2:$A$40,E41)+COUNTIF(Listas!$D$2:$D$60,E41)&gt;0)),"Unidad no reconocida",IF(AND(F41&lt;&gt;"",NOT(ISNUMBER(F41))),"Cantidad no es número",IF(N(F41)&lt;=0,"Falta cantidad",IF(OR(AND(G41&lt;&gt;"",NOT(ISNUMBER(G41))),AND(H41&lt;&gt;"",NOT(ISNUMBER(H41)))),"Precio no es número",IF(N(G41)+N(H41)&lt;=0,"Falta precio","✓ OK")))))))))))</f>
        <v/>
      </c>
      <c r="M41" t="str">
        <f>IF(N41&lt;&gt;"W","",IF(TRIM(C41)&lt;&gt;"",TRIM(C41),IFERROR(LOOKUP(2,1/(N$9:N41="T"),D$9:D41),"")))</f>
        <v/>
      </c>
      <c r="N41" t="str">
        <f t="shared" si="2"/>
        <v/>
      </c>
      <c r="O41" t="str">
        <f>IF(M41="","",IF(COUNTIF(M$9:M41,M41)=1,MAX(O$8:O40)+1,""))</f>
        <v/>
      </c>
    </row>
    <row r="42" spans="1:15" x14ac:dyDescent="0.75">
      <c r="A42" s="24" t="str">
        <f>IF(N42="W",COUNTIF(N$9:N42,"W"),"")</f>
        <v/>
      </c>
      <c r="B42" s="25"/>
      <c r="C42" s="25"/>
      <c r="D42" s="26"/>
      <c r="E42" s="25"/>
      <c r="F42" s="27"/>
      <c r="G42" s="28"/>
      <c r="H42" s="28"/>
      <c r="I42" s="29" t="str">
        <f t="shared" si="0"/>
        <v/>
      </c>
      <c r="J42" s="30" t="str">
        <f t="shared" si="1"/>
        <v/>
      </c>
      <c r="K42" s="26"/>
      <c r="L42" s="24" t="str">
        <f>IF(N42="","",IF(N42="T","Título de capítulo",IF(OR(ISERROR(F42),ISERROR(G42),ISERROR(H42)),"Error en fórmula: pegá como valores",IF(AND(B42="",$C$6=""),"Falta sector",IF(M42="","Falta capítulo",IF(TRIM(E42)="","Falta unidad",IF(NOT((COUNTIF(Listas!$A$2:$A$40,E42)+COUNTIF(Listas!$D$2:$D$60,E42)&gt;0)),"Unidad no reconocida",IF(AND(F42&lt;&gt;"",NOT(ISNUMBER(F42))),"Cantidad no es número",IF(N(F42)&lt;=0,"Falta cantidad",IF(OR(AND(G42&lt;&gt;"",NOT(ISNUMBER(G42))),AND(H42&lt;&gt;"",NOT(ISNUMBER(H42)))),"Precio no es número",IF(N(G42)+N(H42)&lt;=0,"Falta precio","✓ OK")))))))))))</f>
        <v/>
      </c>
      <c r="M42" t="str">
        <f>IF(N42&lt;&gt;"W","",IF(TRIM(C42)&lt;&gt;"",TRIM(C42),IFERROR(LOOKUP(2,1/(N$9:N42="T"),D$9:D42),"")))</f>
        <v/>
      </c>
      <c r="N42" t="str">
        <f t="shared" si="2"/>
        <v/>
      </c>
      <c r="O42" t="str">
        <f>IF(M42="","",IF(COUNTIF(M$9:M42,M42)=1,MAX(O$8:O41)+1,""))</f>
        <v/>
      </c>
    </row>
    <row r="43" spans="1:15" x14ac:dyDescent="0.75">
      <c r="A43" s="24" t="str">
        <f>IF(N43="W",COUNTIF(N$9:N43,"W"),"")</f>
        <v/>
      </c>
      <c r="B43" s="25"/>
      <c r="C43" s="25"/>
      <c r="D43" s="26"/>
      <c r="E43" s="25"/>
      <c r="F43" s="27"/>
      <c r="G43" s="28"/>
      <c r="H43" s="28"/>
      <c r="I43" s="29" t="str">
        <f t="shared" si="0"/>
        <v/>
      </c>
      <c r="J43" s="30" t="str">
        <f t="shared" si="1"/>
        <v/>
      </c>
      <c r="K43" s="26"/>
      <c r="L43" s="24" t="str">
        <f>IF(N43="","",IF(N43="T","Título de capítulo",IF(OR(ISERROR(F43),ISERROR(G43),ISERROR(H43)),"Error en fórmula: pegá como valores",IF(AND(B43="",$C$6=""),"Falta sector",IF(M43="","Falta capítulo",IF(TRIM(E43)="","Falta unidad",IF(NOT((COUNTIF(Listas!$A$2:$A$40,E43)+COUNTIF(Listas!$D$2:$D$60,E43)&gt;0)),"Unidad no reconocida",IF(AND(F43&lt;&gt;"",NOT(ISNUMBER(F43))),"Cantidad no es número",IF(N(F43)&lt;=0,"Falta cantidad",IF(OR(AND(G43&lt;&gt;"",NOT(ISNUMBER(G43))),AND(H43&lt;&gt;"",NOT(ISNUMBER(H43)))),"Precio no es número",IF(N(G43)+N(H43)&lt;=0,"Falta precio","✓ OK")))))))))))</f>
        <v/>
      </c>
      <c r="M43" t="str">
        <f>IF(N43&lt;&gt;"W","",IF(TRIM(C43)&lt;&gt;"",TRIM(C43),IFERROR(LOOKUP(2,1/(N$9:N43="T"),D$9:D43),"")))</f>
        <v/>
      </c>
      <c r="N43" t="str">
        <f t="shared" si="2"/>
        <v/>
      </c>
      <c r="O43" t="str">
        <f>IF(M43="","",IF(COUNTIF(M$9:M43,M43)=1,MAX(O$8:O42)+1,""))</f>
        <v/>
      </c>
    </row>
    <row r="44" spans="1:15" x14ac:dyDescent="0.75">
      <c r="A44" s="24" t="str">
        <f>IF(N44="W",COUNTIF(N$9:N44,"W"),"")</f>
        <v/>
      </c>
      <c r="B44" s="25"/>
      <c r="C44" s="25"/>
      <c r="D44" s="26"/>
      <c r="E44" s="25"/>
      <c r="F44" s="27"/>
      <c r="G44" s="28"/>
      <c r="H44" s="28"/>
      <c r="I44" s="29" t="str">
        <f t="shared" si="0"/>
        <v/>
      </c>
      <c r="J44" s="30" t="str">
        <f t="shared" si="1"/>
        <v/>
      </c>
      <c r="K44" s="26"/>
      <c r="L44" s="24" t="str">
        <f>IF(N44="","",IF(N44="T","Título de capítulo",IF(OR(ISERROR(F44),ISERROR(G44),ISERROR(H44)),"Error en fórmula: pegá como valores",IF(AND(B44="",$C$6=""),"Falta sector",IF(M44="","Falta capítulo",IF(TRIM(E44)="","Falta unidad",IF(NOT((COUNTIF(Listas!$A$2:$A$40,E44)+COUNTIF(Listas!$D$2:$D$60,E44)&gt;0)),"Unidad no reconocida",IF(AND(F44&lt;&gt;"",NOT(ISNUMBER(F44))),"Cantidad no es número",IF(N(F44)&lt;=0,"Falta cantidad",IF(OR(AND(G44&lt;&gt;"",NOT(ISNUMBER(G44))),AND(H44&lt;&gt;"",NOT(ISNUMBER(H44)))),"Precio no es número",IF(N(G44)+N(H44)&lt;=0,"Falta precio","✓ OK")))))))))))</f>
        <v/>
      </c>
      <c r="M44" t="str">
        <f>IF(N44&lt;&gt;"W","",IF(TRIM(C44)&lt;&gt;"",TRIM(C44),IFERROR(LOOKUP(2,1/(N$9:N44="T"),D$9:D44),"")))</f>
        <v/>
      </c>
      <c r="N44" t="str">
        <f t="shared" si="2"/>
        <v/>
      </c>
      <c r="O44" t="str">
        <f>IF(M44="","",IF(COUNTIF(M$9:M44,M44)=1,MAX(O$8:O43)+1,""))</f>
        <v/>
      </c>
    </row>
    <row r="45" spans="1:15" x14ac:dyDescent="0.75">
      <c r="A45" s="24" t="str">
        <f>IF(N45="W",COUNTIF(N$9:N45,"W"),"")</f>
        <v/>
      </c>
      <c r="B45" s="25"/>
      <c r="C45" s="25"/>
      <c r="D45" s="26"/>
      <c r="E45" s="25"/>
      <c r="F45" s="27"/>
      <c r="G45" s="28"/>
      <c r="H45" s="28"/>
      <c r="I45" s="29" t="str">
        <f t="shared" si="0"/>
        <v/>
      </c>
      <c r="J45" s="30" t="str">
        <f t="shared" si="1"/>
        <v/>
      </c>
      <c r="K45" s="26"/>
      <c r="L45" s="24" t="str">
        <f>IF(N45="","",IF(N45="T","Título de capítulo",IF(OR(ISERROR(F45),ISERROR(G45),ISERROR(H45)),"Error en fórmula: pegá como valores",IF(AND(B45="",$C$6=""),"Falta sector",IF(M45="","Falta capítulo",IF(TRIM(E45)="","Falta unidad",IF(NOT((COUNTIF(Listas!$A$2:$A$40,E45)+COUNTIF(Listas!$D$2:$D$60,E45)&gt;0)),"Unidad no reconocida",IF(AND(F45&lt;&gt;"",NOT(ISNUMBER(F45))),"Cantidad no es número",IF(N(F45)&lt;=0,"Falta cantidad",IF(OR(AND(G45&lt;&gt;"",NOT(ISNUMBER(G45))),AND(H45&lt;&gt;"",NOT(ISNUMBER(H45)))),"Precio no es número",IF(N(G45)+N(H45)&lt;=0,"Falta precio","✓ OK")))))))))))</f>
        <v/>
      </c>
      <c r="M45" t="str">
        <f>IF(N45&lt;&gt;"W","",IF(TRIM(C45)&lt;&gt;"",TRIM(C45),IFERROR(LOOKUP(2,1/(N$9:N45="T"),D$9:D45),"")))</f>
        <v/>
      </c>
      <c r="N45" t="str">
        <f t="shared" si="2"/>
        <v/>
      </c>
      <c r="O45" t="str">
        <f>IF(M45="","",IF(COUNTIF(M$9:M45,M45)=1,MAX(O$8:O44)+1,""))</f>
        <v/>
      </c>
    </row>
    <row r="46" spans="1:15" x14ac:dyDescent="0.75">
      <c r="A46" s="24" t="str">
        <f>IF(N46="W",COUNTIF(N$9:N46,"W"),"")</f>
        <v/>
      </c>
      <c r="B46" s="25"/>
      <c r="C46" s="25"/>
      <c r="D46" s="26"/>
      <c r="E46" s="25"/>
      <c r="F46" s="27"/>
      <c r="G46" s="28"/>
      <c r="H46" s="28"/>
      <c r="I46" s="29" t="str">
        <f t="shared" si="0"/>
        <v/>
      </c>
      <c r="J46" s="30" t="str">
        <f t="shared" si="1"/>
        <v/>
      </c>
      <c r="K46" s="26"/>
      <c r="L46" s="24" t="str">
        <f>IF(N46="","",IF(N46="T","Título de capítulo",IF(OR(ISERROR(F46),ISERROR(G46),ISERROR(H46)),"Error en fórmula: pegá como valores",IF(AND(B46="",$C$6=""),"Falta sector",IF(M46="","Falta capítulo",IF(TRIM(E46)="","Falta unidad",IF(NOT((COUNTIF(Listas!$A$2:$A$40,E46)+COUNTIF(Listas!$D$2:$D$60,E46)&gt;0)),"Unidad no reconocida",IF(AND(F46&lt;&gt;"",NOT(ISNUMBER(F46))),"Cantidad no es número",IF(N(F46)&lt;=0,"Falta cantidad",IF(OR(AND(G46&lt;&gt;"",NOT(ISNUMBER(G46))),AND(H46&lt;&gt;"",NOT(ISNUMBER(H46)))),"Precio no es número",IF(N(G46)+N(H46)&lt;=0,"Falta precio","✓ OK")))))))))))</f>
        <v/>
      </c>
      <c r="M46" t="str">
        <f>IF(N46&lt;&gt;"W","",IF(TRIM(C46)&lt;&gt;"",TRIM(C46),IFERROR(LOOKUP(2,1/(N$9:N46="T"),D$9:D46),"")))</f>
        <v/>
      </c>
      <c r="N46" t="str">
        <f t="shared" si="2"/>
        <v/>
      </c>
      <c r="O46" t="str">
        <f>IF(M46="","",IF(COUNTIF(M$9:M46,M46)=1,MAX(O$8:O45)+1,""))</f>
        <v/>
      </c>
    </row>
    <row r="47" spans="1:15" x14ac:dyDescent="0.75">
      <c r="A47" s="24" t="str">
        <f>IF(N47="W",COUNTIF(N$9:N47,"W"),"")</f>
        <v/>
      </c>
      <c r="B47" s="25"/>
      <c r="C47" s="25"/>
      <c r="D47" s="26"/>
      <c r="E47" s="25"/>
      <c r="F47" s="27"/>
      <c r="G47" s="28"/>
      <c r="H47" s="28"/>
      <c r="I47" s="29" t="str">
        <f t="shared" si="0"/>
        <v/>
      </c>
      <c r="J47" s="30" t="str">
        <f t="shared" si="1"/>
        <v/>
      </c>
      <c r="K47" s="26"/>
      <c r="L47" s="24" t="str">
        <f>IF(N47="","",IF(N47="T","Título de capítulo",IF(OR(ISERROR(F47),ISERROR(G47),ISERROR(H47)),"Error en fórmula: pegá como valores",IF(AND(B47="",$C$6=""),"Falta sector",IF(M47="","Falta capítulo",IF(TRIM(E47)="","Falta unidad",IF(NOT((COUNTIF(Listas!$A$2:$A$40,E47)+COUNTIF(Listas!$D$2:$D$60,E47)&gt;0)),"Unidad no reconocida",IF(AND(F47&lt;&gt;"",NOT(ISNUMBER(F47))),"Cantidad no es número",IF(N(F47)&lt;=0,"Falta cantidad",IF(OR(AND(G47&lt;&gt;"",NOT(ISNUMBER(G47))),AND(H47&lt;&gt;"",NOT(ISNUMBER(H47)))),"Precio no es número",IF(N(G47)+N(H47)&lt;=0,"Falta precio","✓ OK")))))))))))</f>
        <v/>
      </c>
      <c r="M47" t="str">
        <f>IF(N47&lt;&gt;"W","",IF(TRIM(C47)&lt;&gt;"",TRIM(C47),IFERROR(LOOKUP(2,1/(N$9:N47="T"),D$9:D47),"")))</f>
        <v/>
      </c>
      <c r="N47" t="str">
        <f t="shared" si="2"/>
        <v/>
      </c>
      <c r="O47" t="str">
        <f>IF(M47="","",IF(COUNTIF(M$9:M47,M47)=1,MAX(O$8:O46)+1,""))</f>
        <v/>
      </c>
    </row>
    <row r="48" spans="1:15" x14ac:dyDescent="0.75">
      <c r="A48" s="24" t="str">
        <f>IF(N48="W",COUNTIF(N$9:N48,"W"),"")</f>
        <v/>
      </c>
      <c r="B48" s="25"/>
      <c r="C48" s="25"/>
      <c r="D48" s="26"/>
      <c r="E48" s="25"/>
      <c r="F48" s="27"/>
      <c r="G48" s="28"/>
      <c r="H48" s="28"/>
      <c r="I48" s="29" t="str">
        <f t="shared" si="0"/>
        <v/>
      </c>
      <c r="J48" s="30" t="str">
        <f t="shared" si="1"/>
        <v/>
      </c>
      <c r="K48" s="26"/>
      <c r="L48" s="24" t="str">
        <f>IF(N48="","",IF(N48="T","Título de capítulo",IF(OR(ISERROR(F48),ISERROR(G48),ISERROR(H48)),"Error en fórmula: pegá como valores",IF(AND(B48="",$C$6=""),"Falta sector",IF(M48="","Falta capítulo",IF(TRIM(E48)="","Falta unidad",IF(NOT((COUNTIF(Listas!$A$2:$A$40,E48)+COUNTIF(Listas!$D$2:$D$60,E48)&gt;0)),"Unidad no reconocida",IF(AND(F48&lt;&gt;"",NOT(ISNUMBER(F48))),"Cantidad no es número",IF(N(F48)&lt;=0,"Falta cantidad",IF(OR(AND(G48&lt;&gt;"",NOT(ISNUMBER(G48))),AND(H48&lt;&gt;"",NOT(ISNUMBER(H48)))),"Precio no es número",IF(N(G48)+N(H48)&lt;=0,"Falta precio","✓ OK")))))))))))</f>
        <v/>
      </c>
      <c r="M48" t="str">
        <f>IF(N48&lt;&gt;"W","",IF(TRIM(C48)&lt;&gt;"",TRIM(C48),IFERROR(LOOKUP(2,1/(N$9:N48="T"),D$9:D48),"")))</f>
        <v/>
      </c>
      <c r="N48" t="str">
        <f t="shared" si="2"/>
        <v/>
      </c>
      <c r="O48" t="str">
        <f>IF(M48="","",IF(COUNTIF(M$9:M48,M48)=1,MAX(O$8:O47)+1,""))</f>
        <v/>
      </c>
    </row>
    <row r="49" spans="1:15" x14ac:dyDescent="0.75">
      <c r="A49" s="24" t="str">
        <f>IF(N49="W",COUNTIF(N$9:N49,"W"),"")</f>
        <v/>
      </c>
      <c r="B49" s="25"/>
      <c r="C49" s="25"/>
      <c r="D49" s="26"/>
      <c r="E49" s="25"/>
      <c r="F49" s="27"/>
      <c r="G49" s="28"/>
      <c r="H49" s="28"/>
      <c r="I49" s="29" t="str">
        <f t="shared" si="0"/>
        <v/>
      </c>
      <c r="J49" s="30" t="str">
        <f t="shared" si="1"/>
        <v/>
      </c>
      <c r="K49" s="26"/>
      <c r="L49" s="24" t="str">
        <f>IF(N49="","",IF(N49="T","Título de capítulo",IF(OR(ISERROR(F49),ISERROR(G49),ISERROR(H49)),"Error en fórmula: pegá como valores",IF(AND(B49="",$C$6=""),"Falta sector",IF(M49="","Falta capítulo",IF(TRIM(E49)="","Falta unidad",IF(NOT((COUNTIF(Listas!$A$2:$A$40,E49)+COUNTIF(Listas!$D$2:$D$60,E49)&gt;0)),"Unidad no reconocida",IF(AND(F49&lt;&gt;"",NOT(ISNUMBER(F49))),"Cantidad no es número",IF(N(F49)&lt;=0,"Falta cantidad",IF(OR(AND(G49&lt;&gt;"",NOT(ISNUMBER(G49))),AND(H49&lt;&gt;"",NOT(ISNUMBER(H49)))),"Precio no es número",IF(N(G49)+N(H49)&lt;=0,"Falta precio","✓ OK")))))))))))</f>
        <v/>
      </c>
      <c r="M49" t="str">
        <f>IF(N49&lt;&gt;"W","",IF(TRIM(C49)&lt;&gt;"",TRIM(C49),IFERROR(LOOKUP(2,1/(N$9:N49="T"),D$9:D49),"")))</f>
        <v/>
      </c>
      <c r="N49" t="str">
        <f t="shared" si="2"/>
        <v/>
      </c>
      <c r="O49" t="str">
        <f>IF(M49="","",IF(COUNTIF(M$9:M49,M49)=1,MAX(O$8:O48)+1,""))</f>
        <v/>
      </c>
    </row>
    <row r="50" spans="1:15" x14ac:dyDescent="0.75">
      <c r="A50" s="24" t="str">
        <f>IF(N50="W",COUNTIF(N$9:N50,"W"),"")</f>
        <v/>
      </c>
      <c r="B50" s="25"/>
      <c r="C50" s="25"/>
      <c r="D50" s="26"/>
      <c r="E50" s="25"/>
      <c r="F50" s="27"/>
      <c r="G50" s="28"/>
      <c r="H50" s="28"/>
      <c r="I50" s="29" t="str">
        <f t="shared" si="0"/>
        <v/>
      </c>
      <c r="J50" s="30" t="str">
        <f t="shared" si="1"/>
        <v/>
      </c>
      <c r="K50" s="26"/>
      <c r="L50" s="24" t="str">
        <f>IF(N50="","",IF(N50="T","Título de capítulo",IF(OR(ISERROR(F50),ISERROR(G50),ISERROR(H50)),"Error en fórmula: pegá como valores",IF(AND(B50="",$C$6=""),"Falta sector",IF(M50="","Falta capítulo",IF(TRIM(E50)="","Falta unidad",IF(NOT((COUNTIF(Listas!$A$2:$A$40,E50)+COUNTIF(Listas!$D$2:$D$60,E50)&gt;0)),"Unidad no reconocida",IF(AND(F50&lt;&gt;"",NOT(ISNUMBER(F50))),"Cantidad no es número",IF(N(F50)&lt;=0,"Falta cantidad",IF(OR(AND(G50&lt;&gt;"",NOT(ISNUMBER(G50))),AND(H50&lt;&gt;"",NOT(ISNUMBER(H50)))),"Precio no es número",IF(N(G50)+N(H50)&lt;=0,"Falta precio","✓ OK")))))))))))</f>
        <v/>
      </c>
      <c r="M50" t="str">
        <f>IF(N50&lt;&gt;"W","",IF(TRIM(C50)&lt;&gt;"",TRIM(C50),IFERROR(LOOKUP(2,1/(N$9:N50="T"),D$9:D50),"")))</f>
        <v/>
      </c>
      <c r="N50" t="str">
        <f t="shared" si="2"/>
        <v/>
      </c>
      <c r="O50" t="str">
        <f>IF(M50="","",IF(COUNTIF(M$9:M50,M50)=1,MAX(O$8:O49)+1,""))</f>
        <v/>
      </c>
    </row>
    <row r="51" spans="1:15" x14ac:dyDescent="0.75">
      <c r="A51" s="24" t="str">
        <f>IF(N51="W",COUNTIF(N$9:N51,"W"),"")</f>
        <v/>
      </c>
      <c r="B51" s="25"/>
      <c r="C51" s="25"/>
      <c r="D51" s="26"/>
      <c r="E51" s="25"/>
      <c r="F51" s="27"/>
      <c r="G51" s="28"/>
      <c r="H51" s="28"/>
      <c r="I51" s="29" t="str">
        <f t="shared" si="0"/>
        <v/>
      </c>
      <c r="J51" s="30" t="str">
        <f t="shared" si="1"/>
        <v/>
      </c>
      <c r="K51" s="26"/>
      <c r="L51" s="24" t="str">
        <f>IF(N51="","",IF(N51="T","Título de capítulo",IF(OR(ISERROR(F51),ISERROR(G51),ISERROR(H51)),"Error en fórmula: pegá como valores",IF(AND(B51="",$C$6=""),"Falta sector",IF(M51="","Falta capítulo",IF(TRIM(E51)="","Falta unidad",IF(NOT((COUNTIF(Listas!$A$2:$A$40,E51)+COUNTIF(Listas!$D$2:$D$60,E51)&gt;0)),"Unidad no reconocida",IF(AND(F51&lt;&gt;"",NOT(ISNUMBER(F51))),"Cantidad no es número",IF(N(F51)&lt;=0,"Falta cantidad",IF(OR(AND(G51&lt;&gt;"",NOT(ISNUMBER(G51))),AND(H51&lt;&gt;"",NOT(ISNUMBER(H51)))),"Precio no es número",IF(N(G51)+N(H51)&lt;=0,"Falta precio","✓ OK")))))))))))</f>
        <v/>
      </c>
      <c r="M51" t="str">
        <f>IF(N51&lt;&gt;"W","",IF(TRIM(C51)&lt;&gt;"",TRIM(C51),IFERROR(LOOKUP(2,1/(N$9:N51="T"),D$9:D51),"")))</f>
        <v/>
      </c>
      <c r="N51" t="str">
        <f t="shared" si="2"/>
        <v/>
      </c>
      <c r="O51" t="str">
        <f>IF(M51="","",IF(COUNTIF(M$9:M51,M51)=1,MAX(O$8:O50)+1,""))</f>
        <v/>
      </c>
    </row>
    <row r="52" spans="1:15" x14ac:dyDescent="0.75">
      <c r="A52" s="24" t="str">
        <f>IF(N52="W",COUNTIF(N$9:N52,"W"),"")</f>
        <v/>
      </c>
      <c r="B52" s="25"/>
      <c r="C52" s="25"/>
      <c r="D52" s="26"/>
      <c r="E52" s="25"/>
      <c r="F52" s="27"/>
      <c r="G52" s="28"/>
      <c r="H52" s="28"/>
      <c r="I52" s="29" t="str">
        <f t="shared" si="0"/>
        <v/>
      </c>
      <c r="J52" s="30" t="str">
        <f t="shared" si="1"/>
        <v/>
      </c>
      <c r="K52" s="26"/>
      <c r="L52" s="24" t="str">
        <f>IF(N52="","",IF(N52="T","Título de capítulo",IF(OR(ISERROR(F52),ISERROR(G52),ISERROR(H52)),"Error en fórmula: pegá como valores",IF(AND(B52="",$C$6=""),"Falta sector",IF(M52="","Falta capítulo",IF(TRIM(E52)="","Falta unidad",IF(NOT((COUNTIF(Listas!$A$2:$A$40,E52)+COUNTIF(Listas!$D$2:$D$60,E52)&gt;0)),"Unidad no reconocida",IF(AND(F52&lt;&gt;"",NOT(ISNUMBER(F52))),"Cantidad no es número",IF(N(F52)&lt;=0,"Falta cantidad",IF(OR(AND(G52&lt;&gt;"",NOT(ISNUMBER(G52))),AND(H52&lt;&gt;"",NOT(ISNUMBER(H52)))),"Precio no es número",IF(N(G52)+N(H52)&lt;=0,"Falta precio","✓ OK")))))))))))</f>
        <v/>
      </c>
      <c r="M52" t="str">
        <f>IF(N52&lt;&gt;"W","",IF(TRIM(C52)&lt;&gt;"",TRIM(C52),IFERROR(LOOKUP(2,1/(N$9:N52="T"),D$9:D52),"")))</f>
        <v/>
      </c>
      <c r="N52" t="str">
        <f t="shared" si="2"/>
        <v/>
      </c>
      <c r="O52" t="str">
        <f>IF(M52="","",IF(COUNTIF(M$9:M52,M52)=1,MAX(O$8:O51)+1,""))</f>
        <v/>
      </c>
    </row>
    <row r="53" spans="1:15" x14ac:dyDescent="0.75">
      <c r="A53" s="24" t="str">
        <f>IF(N53="W",COUNTIF(N$9:N53,"W"),"")</f>
        <v/>
      </c>
      <c r="B53" s="25"/>
      <c r="C53" s="25"/>
      <c r="D53" s="26"/>
      <c r="E53" s="25"/>
      <c r="F53" s="27"/>
      <c r="G53" s="28"/>
      <c r="H53" s="28"/>
      <c r="I53" s="29" t="str">
        <f t="shared" si="0"/>
        <v/>
      </c>
      <c r="J53" s="30" t="str">
        <f t="shared" si="1"/>
        <v/>
      </c>
      <c r="K53" s="26"/>
      <c r="L53" s="24" t="str">
        <f>IF(N53="","",IF(N53="T","Título de capítulo",IF(OR(ISERROR(F53),ISERROR(G53),ISERROR(H53)),"Error en fórmula: pegá como valores",IF(AND(B53="",$C$6=""),"Falta sector",IF(M53="","Falta capítulo",IF(TRIM(E53)="","Falta unidad",IF(NOT((COUNTIF(Listas!$A$2:$A$40,E53)+COUNTIF(Listas!$D$2:$D$60,E53)&gt;0)),"Unidad no reconocida",IF(AND(F53&lt;&gt;"",NOT(ISNUMBER(F53))),"Cantidad no es número",IF(N(F53)&lt;=0,"Falta cantidad",IF(OR(AND(G53&lt;&gt;"",NOT(ISNUMBER(G53))),AND(H53&lt;&gt;"",NOT(ISNUMBER(H53)))),"Precio no es número",IF(N(G53)+N(H53)&lt;=0,"Falta precio","✓ OK")))))))))))</f>
        <v/>
      </c>
      <c r="M53" t="str">
        <f>IF(N53&lt;&gt;"W","",IF(TRIM(C53)&lt;&gt;"",TRIM(C53),IFERROR(LOOKUP(2,1/(N$9:N53="T"),D$9:D53),"")))</f>
        <v/>
      </c>
      <c r="N53" t="str">
        <f t="shared" si="2"/>
        <v/>
      </c>
      <c r="O53" t="str">
        <f>IF(M53="","",IF(COUNTIF(M$9:M53,M53)=1,MAX(O$8:O52)+1,""))</f>
        <v/>
      </c>
    </row>
    <row r="54" spans="1:15" x14ac:dyDescent="0.75">
      <c r="A54" s="24" t="str">
        <f>IF(N54="W",COUNTIF(N$9:N54,"W"),"")</f>
        <v/>
      </c>
      <c r="B54" s="25"/>
      <c r="C54" s="25"/>
      <c r="D54" s="26"/>
      <c r="E54" s="25"/>
      <c r="F54" s="27"/>
      <c r="G54" s="28"/>
      <c r="H54" s="28"/>
      <c r="I54" s="29" t="str">
        <f t="shared" si="0"/>
        <v/>
      </c>
      <c r="J54" s="30" t="str">
        <f t="shared" si="1"/>
        <v/>
      </c>
      <c r="K54" s="26"/>
      <c r="L54" s="24" t="str">
        <f>IF(N54="","",IF(N54="T","Título de capítulo",IF(OR(ISERROR(F54),ISERROR(G54),ISERROR(H54)),"Error en fórmula: pegá como valores",IF(AND(B54="",$C$6=""),"Falta sector",IF(M54="","Falta capítulo",IF(TRIM(E54)="","Falta unidad",IF(NOT((COUNTIF(Listas!$A$2:$A$40,E54)+COUNTIF(Listas!$D$2:$D$60,E54)&gt;0)),"Unidad no reconocida",IF(AND(F54&lt;&gt;"",NOT(ISNUMBER(F54))),"Cantidad no es número",IF(N(F54)&lt;=0,"Falta cantidad",IF(OR(AND(G54&lt;&gt;"",NOT(ISNUMBER(G54))),AND(H54&lt;&gt;"",NOT(ISNUMBER(H54)))),"Precio no es número",IF(N(G54)+N(H54)&lt;=0,"Falta precio","✓ OK")))))))))))</f>
        <v/>
      </c>
      <c r="M54" t="str">
        <f>IF(N54&lt;&gt;"W","",IF(TRIM(C54)&lt;&gt;"",TRIM(C54),IFERROR(LOOKUP(2,1/(N$9:N54="T"),D$9:D54),"")))</f>
        <v/>
      </c>
      <c r="N54" t="str">
        <f t="shared" si="2"/>
        <v/>
      </c>
      <c r="O54" t="str">
        <f>IF(M54="","",IF(COUNTIF(M$9:M54,M54)=1,MAX(O$8:O53)+1,""))</f>
        <v/>
      </c>
    </row>
    <row r="55" spans="1:15" x14ac:dyDescent="0.75">
      <c r="A55" s="24" t="str">
        <f>IF(N55="W",COUNTIF(N$9:N55,"W"),"")</f>
        <v/>
      </c>
      <c r="B55" s="25"/>
      <c r="C55" s="25"/>
      <c r="D55" s="26"/>
      <c r="E55" s="25"/>
      <c r="F55" s="27"/>
      <c r="G55" s="28"/>
      <c r="H55" s="28"/>
      <c r="I55" s="29" t="str">
        <f t="shared" si="0"/>
        <v/>
      </c>
      <c r="J55" s="30" t="str">
        <f t="shared" si="1"/>
        <v/>
      </c>
      <c r="K55" s="26"/>
      <c r="L55" s="24" t="str">
        <f>IF(N55="","",IF(N55="T","Título de capítulo",IF(OR(ISERROR(F55),ISERROR(G55),ISERROR(H55)),"Error en fórmula: pegá como valores",IF(AND(B55="",$C$6=""),"Falta sector",IF(M55="","Falta capítulo",IF(TRIM(E55)="","Falta unidad",IF(NOT((COUNTIF(Listas!$A$2:$A$40,E55)+COUNTIF(Listas!$D$2:$D$60,E55)&gt;0)),"Unidad no reconocida",IF(AND(F55&lt;&gt;"",NOT(ISNUMBER(F55))),"Cantidad no es número",IF(N(F55)&lt;=0,"Falta cantidad",IF(OR(AND(G55&lt;&gt;"",NOT(ISNUMBER(G55))),AND(H55&lt;&gt;"",NOT(ISNUMBER(H55)))),"Precio no es número",IF(N(G55)+N(H55)&lt;=0,"Falta precio","✓ OK")))))))))))</f>
        <v/>
      </c>
      <c r="M55" t="str">
        <f>IF(N55&lt;&gt;"W","",IF(TRIM(C55)&lt;&gt;"",TRIM(C55),IFERROR(LOOKUP(2,1/(N$9:N55="T"),D$9:D55),"")))</f>
        <v/>
      </c>
      <c r="N55" t="str">
        <f t="shared" si="2"/>
        <v/>
      </c>
      <c r="O55" t="str">
        <f>IF(M55="","",IF(COUNTIF(M$9:M55,M55)=1,MAX(O$8:O54)+1,""))</f>
        <v/>
      </c>
    </row>
    <row r="56" spans="1:15" x14ac:dyDescent="0.75">
      <c r="A56" s="24" t="str">
        <f>IF(N56="W",COUNTIF(N$9:N56,"W"),"")</f>
        <v/>
      </c>
      <c r="B56" s="25"/>
      <c r="C56" s="25"/>
      <c r="D56" s="26"/>
      <c r="E56" s="25"/>
      <c r="F56" s="27"/>
      <c r="G56" s="28"/>
      <c r="H56" s="28"/>
      <c r="I56" s="29" t="str">
        <f t="shared" si="0"/>
        <v/>
      </c>
      <c r="J56" s="30" t="str">
        <f t="shared" si="1"/>
        <v/>
      </c>
      <c r="K56" s="26"/>
      <c r="L56" s="24" t="str">
        <f>IF(N56="","",IF(N56="T","Título de capítulo",IF(OR(ISERROR(F56),ISERROR(G56),ISERROR(H56)),"Error en fórmula: pegá como valores",IF(AND(B56="",$C$6=""),"Falta sector",IF(M56="","Falta capítulo",IF(TRIM(E56)="","Falta unidad",IF(NOT((COUNTIF(Listas!$A$2:$A$40,E56)+COUNTIF(Listas!$D$2:$D$60,E56)&gt;0)),"Unidad no reconocida",IF(AND(F56&lt;&gt;"",NOT(ISNUMBER(F56))),"Cantidad no es número",IF(N(F56)&lt;=0,"Falta cantidad",IF(OR(AND(G56&lt;&gt;"",NOT(ISNUMBER(G56))),AND(H56&lt;&gt;"",NOT(ISNUMBER(H56)))),"Precio no es número",IF(N(G56)+N(H56)&lt;=0,"Falta precio","✓ OK")))))))))))</f>
        <v/>
      </c>
      <c r="M56" t="str">
        <f>IF(N56&lt;&gt;"W","",IF(TRIM(C56)&lt;&gt;"",TRIM(C56),IFERROR(LOOKUP(2,1/(N$9:N56="T"),D$9:D56),"")))</f>
        <v/>
      </c>
      <c r="N56" t="str">
        <f t="shared" si="2"/>
        <v/>
      </c>
      <c r="O56" t="str">
        <f>IF(M56="","",IF(COUNTIF(M$9:M56,M56)=1,MAX(O$8:O55)+1,""))</f>
        <v/>
      </c>
    </row>
    <row r="57" spans="1:15" x14ac:dyDescent="0.75">
      <c r="A57" s="24" t="str">
        <f>IF(N57="W",COUNTIF(N$9:N57,"W"),"")</f>
        <v/>
      </c>
      <c r="B57" s="25"/>
      <c r="C57" s="25"/>
      <c r="D57" s="26"/>
      <c r="E57" s="25"/>
      <c r="F57" s="27"/>
      <c r="G57" s="28"/>
      <c r="H57" s="28"/>
      <c r="I57" s="29" t="str">
        <f t="shared" si="0"/>
        <v/>
      </c>
      <c r="J57" s="30" t="str">
        <f t="shared" si="1"/>
        <v/>
      </c>
      <c r="K57" s="26"/>
      <c r="L57" s="24" t="str">
        <f>IF(N57="","",IF(N57="T","Título de capítulo",IF(OR(ISERROR(F57),ISERROR(G57),ISERROR(H57)),"Error en fórmula: pegá como valores",IF(AND(B57="",$C$6=""),"Falta sector",IF(M57="","Falta capítulo",IF(TRIM(E57)="","Falta unidad",IF(NOT((COUNTIF(Listas!$A$2:$A$40,E57)+COUNTIF(Listas!$D$2:$D$60,E57)&gt;0)),"Unidad no reconocida",IF(AND(F57&lt;&gt;"",NOT(ISNUMBER(F57))),"Cantidad no es número",IF(N(F57)&lt;=0,"Falta cantidad",IF(OR(AND(G57&lt;&gt;"",NOT(ISNUMBER(G57))),AND(H57&lt;&gt;"",NOT(ISNUMBER(H57)))),"Precio no es número",IF(N(G57)+N(H57)&lt;=0,"Falta precio","✓ OK")))))))))))</f>
        <v/>
      </c>
      <c r="M57" t="str">
        <f>IF(N57&lt;&gt;"W","",IF(TRIM(C57)&lt;&gt;"",TRIM(C57),IFERROR(LOOKUP(2,1/(N$9:N57="T"),D$9:D57),"")))</f>
        <v/>
      </c>
      <c r="N57" t="str">
        <f t="shared" si="2"/>
        <v/>
      </c>
      <c r="O57" t="str">
        <f>IF(M57="","",IF(COUNTIF(M$9:M57,M57)=1,MAX(O$8:O56)+1,""))</f>
        <v/>
      </c>
    </row>
    <row r="58" spans="1:15" x14ac:dyDescent="0.75">
      <c r="A58" s="24" t="str">
        <f>IF(N58="W",COUNTIF(N$9:N58,"W"),"")</f>
        <v/>
      </c>
      <c r="B58" s="25"/>
      <c r="C58" s="25"/>
      <c r="D58" s="26"/>
      <c r="E58" s="25"/>
      <c r="F58" s="27"/>
      <c r="G58" s="28"/>
      <c r="H58" s="28"/>
      <c r="I58" s="29" t="str">
        <f t="shared" si="0"/>
        <v/>
      </c>
      <c r="J58" s="30" t="str">
        <f t="shared" si="1"/>
        <v/>
      </c>
      <c r="K58" s="26"/>
      <c r="L58" s="24" t="str">
        <f>IF(N58="","",IF(N58="T","Título de capítulo",IF(OR(ISERROR(F58),ISERROR(G58),ISERROR(H58)),"Error en fórmula: pegá como valores",IF(AND(B58="",$C$6=""),"Falta sector",IF(M58="","Falta capítulo",IF(TRIM(E58)="","Falta unidad",IF(NOT((COUNTIF(Listas!$A$2:$A$40,E58)+COUNTIF(Listas!$D$2:$D$60,E58)&gt;0)),"Unidad no reconocida",IF(AND(F58&lt;&gt;"",NOT(ISNUMBER(F58))),"Cantidad no es número",IF(N(F58)&lt;=0,"Falta cantidad",IF(OR(AND(G58&lt;&gt;"",NOT(ISNUMBER(G58))),AND(H58&lt;&gt;"",NOT(ISNUMBER(H58)))),"Precio no es número",IF(N(G58)+N(H58)&lt;=0,"Falta precio","✓ OK")))))))))))</f>
        <v/>
      </c>
      <c r="M58" t="str">
        <f>IF(N58&lt;&gt;"W","",IF(TRIM(C58)&lt;&gt;"",TRIM(C58),IFERROR(LOOKUP(2,1/(N$9:N58="T"),D$9:D58),"")))</f>
        <v/>
      </c>
      <c r="N58" t="str">
        <f t="shared" si="2"/>
        <v/>
      </c>
      <c r="O58" t="str">
        <f>IF(M58="","",IF(COUNTIF(M$9:M58,M58)=1,MAX(O$8:O57)+1,""))</f>
        <v/>
      </c>
    </row>
    <row r="59" spans="1:15" x14ac:dyDescent="0.75">
      <c r="A59" s="24" t="str">
        <f>IF(N59="W",COUNTIF(N$9:N59,"W"),"")</f>
        <v/>
      </c>
      <c r="B59" s="25"/>
      <c r="C59" s="25"/>
      <c r="D59" s="26"/>
      <c r="E59" s="25"/>
      <c r="F59" s="27"/>
      <c r="G59" s="28"/>
      <c r="H59" s="28"/>
      <c r="I59" s="29" t="str">
        <f t="shared" si="0"/>
        <v/>
      </c>
      <c r="J59" s="30" t="str">
        <f t="shared" si="1"/>
        <v/>
      </c>
      <c r="K59" s="26"/>
      <c r="L59" s="24" t="str">
        <f>IF(N59="","",IF(N59="T","Título de capítulo",IF(OR(ISERROR(F59),ISERROR(G59),ISERROR(H59)),"Error en fórmula: pegá como valores",IF(AND(B59="",$C$6=""),"Falta sector",IF(M59="","Falta capítulo",IF(TRIM(E59)="","Falta unidad",IF(NOT((COUNTIF(Listas!$A$2:$A$40,E59)+COUNTIF(Listas!$D$2:$D$60,E59)&gt;0)),"Unidad no reconocida",IF(AND(F59&lt;&gt;"",NOT(ISNUMBER(F59))),"Cantidad no es número",IF(N(F59)&lt;=0,"Falta cantidad",IF(OR(AND(G59&lt;&gt;"",NOT(ISNUMBER(G59))),AND(H59&lt;&gt;"",NOT(ISNUMBER(H59)))),"Precio no es número",IF(N(G59)+N(H59)&lt;=0,"Falta precio","✓ OK")))))))))))</f>
        <v/>
      </c>
      <c r="M59" t="str">
        <f>IF(N59&lt;&gt;"W","",IF(TRIM(C59)&lt;&gt;"",TRIM(C59),IFERROR(LOOKUP(2,1/(N$9:N59="T"),D$9:D59),"")))</f>
        <v/>
      </c>
      <c r="N59" t="str">
        <f t="shared" si="2"/>
        <v/>
      </c>
      <c r="O59" t="str">
        <f>IF(M59="","",IF(COUNTIF(M$9:M59,M59)=1,MAX(O$8:O58)+1,""))</f>
        <v/>
      </c>
    </row>
    <row r="60" spans="1:15" x14ac:dyDescent="0.75">
      <c r="A60" s="24" t="str">
        <f>IF(N60="W",COUNTIF(N$9:N60,"W"),"")</f>
        <v/>
      </c>
      <c r="B60" s="25"/>
      <c r="C60" s="25"/>
      <c r="D60" s="26"/>
      <c r="E60" s="25"/>
      <c r="F60" s="27"/>
      <c r="G60" s="28"/>
      <c r="H60" s="28"/>
      <c r="I60" s="29" t="str">
        <f t="shared" si="0"/>
        <v/>
      </c>
      <c r="J60" s="30" t="str">
        <f t="shared" si="1"/>
        <v/>
      </c>
      <c r="K60" s="26"/>
      <c r="L60" s="24" t="str">
        <f>IF(N60="","",IF(N60="T","Título de capítulo",IF(OR(ISERROR(F60),ISERROR(G60),ISERROR(H60)),"Error en fórmula: pegá como valores",IF(AND(B60="",$C$6=""),"Falta sector",IF(M60="","Falta capítulo",IF(TRIM(E60)="","Falta unidad",IF(NOT((COUNTIF(Listas!$A$2:$A$40,E60)+COUNTIF(Listas!$D$2:$D$60,E60)&gt;0)),"Unidad no reconocida",IF(AND(F60&lt;&gt;"",NOT(ISNUMBER(F60))),"Cantidad no es número",IF(N(F60)&lt;=0,"Falta cantidad",IF(OR(AND(G60&lt;&gt;"",NOT(ISNUMBER(G60))),AND(H60&lt;&gt;"",NOT(ISNUMBER(H60)))),"Precio no es número",IF(N(G60)+N(H60)&lt;=0,"Falta precio","✓ OK")))))))))))</f>
        <v/>
      </c>
      <c r="M60" t="str">
        <f>IF(N60&lt;&gt;"W","",IF(TRIM(C60)&lt;&gt;"",TRIM(C60),IFERROR(LOOKUP(2,1/(N$9:N60="T"),D$9:D60),"")))</f>
        <v/>
      </c>
      <c r="N60" t="str">
        <f t="shared" si="2"/>
        <v/>
      </c>
      <c r="O60" t="str">
        <f>IF(M60="","",IF(COUNTIF(M$9:M60,M60)=1,MAX(O$8:O59)+1,""))</f>
        <v/>
      </c>
    </row>
    <row r="61" spans="1:15" x14ac:dyDescent="0.75">
      <c r="A61" s="24" t="str">
        <f>IF(N61="W",COUNTIF(N$9:N61,"W"),"")</f>
        <v/>
      </c>
      <c r="B61" s="25"/>
      <c r="C61" s="25"/>
      <c r="D61" s="26"/>
      <c r="E61" s="25"/>
      <c r="F61" s="27"/>
      <c r="G61" s="28"/>
      <c r="H61" s="28"/>
      <c r="I61" s="29" t="str">
        <f t="shared" si="0"/>
        <v/>
      </c>
      <c r="J61" s="30" t="str">
        <f t="shared" si="1"/>
        <v/>
      </c>
      <c r="K61" s="26"/>
      <c r="L61" s="24" t="str">
        <f>IF(N61="","",IF(N61="T","Título de capítulo",IF(OR(ISERROR(F61),ISERROR(G61),ISERROR(H61)),"Error en fórmula: pegá como valores",IF(AND(B61="",$C$6=""),"Falta sector",IF(M61="","Falta capítulo",IF(TRIM(E61)="","Falta unidad",IF(NOT((COUNTIF(Listas!$A$2:$A$40,E61)+COUNTIF(Listas!$D$2:$D$60,E61)&gt;0)),"Unidad no reconocida",IF(AND(F61&lt;&gt;"",NOT(ISNUMBER(F61))),"Cantidad no es número",IF(N(F61)&lt;=0,"Falta cantidad",IF(OR(AND(G61&lt;&gt;"",NOT(ISNUMBER(G61))),AND(H61&lt;&gt;"",NOT(ISNUMBER(H61)))),"Precio no es número",IF(N(G61)+N(H61)&lt;=0,"Falta precio","✓ OK")))))))))))</f>
        <v/>
      </c>
      <c r="M61" t="str">
        <f>IF(N61&lt;&gt;"W","",IF(TRIM(C61)&lt;&gt;"",TRIM(C61),IFERROR(LOOKUP(2,1/(N$9:N61="T"),D$9:D61),"")))</f>
        <v/>
      </c>
      <c r="N61" t="str">
        <f t="shared" si="2"/>
        <v/>
      </c>
      <c r="O61" t="str">
        <f>IF(M61="","",IF(COUNTIF(M$9:M61,M61)=1,MAX(O$8:O60)+1,""))</f>
        <v/>
      </c>
    </row>
    <row r="62" spans="1:15" x14ac:dyDescent="0.75">
      <c r="A62" s="24" t="str">
        <f>IF(N62="W",COUNTIF(N$9:N62,"W"),"")</f>
        <v/>
      </c>
      <c r="B62" s="25"/>
      <c r="C62" s="25"/>
      <c r="D62" s="26"/>
      <c r="E62" s="25"/>
      <c r="F62" s="27"/>
      <c r="G62" s="28"/>
      <c r="H62" s="28"/>
      <c r="I62" s="29" t="str">
        <f t="shared" si="0"/>
        <v/>
      </c>
      <c r="J62" s="30" t="str">
        <f t="shared" si="1"/>
        <v/>
      </c>
      <c r="K62" s="26"/>
      <c r="L62" s="24" t="str">
        <f>IF(N62="","",IF(N62="T","Título de capítulo",IF(OR(ISERROR(F62),ISERROR(G62),ISERROR(H62)),"Error en fórmula: pegá como valores",IF(AND(B62="",$C$6=""),"Falta sector",IF(M62="","Falta capítulo",IF(TRIM(E62)="","Falta unidad",IF(NOT((COUNTIF(Listas!$A$2:$A$40,E62)+COUNTIF(Listas!$D$2:$D$60,E62)&gt;0)),"Unidad no reconocida",IF(AND(F62&lt;&gt;"",NOT(ISNUMBER(F62))),"Cantidad no es número",IF(N(F62)&lt;=0,"Falta cantidad",IF(OR(AND(G62&lt;&gt;"",NOT(ISNUMBER(G62))),AND(H62&lt;&gt;"",NOT(ISNUMBER(H62)))),"Precio no es número",IF(N(G62)+N(H62)&lt;=0,"Falta precio","✓ OK")))))))))))</f>
        <v/>
      </c>
      <c r="M62" t="str">
        <f>IF(N62&lt;&gt;"W","",IF(TRIM(C62)&lt;&gt;"",TRIM(C62),IFERROR(LOOKUP(2,1/(N$9:N62="T"),D$9:D62),"")))</f>
        <v/>
      </c>
      <c r="N62" t="str">
        <f t="shared" si="2"/>
        <v/>
      </c>
      <c r="O62" t="str">
        <f>IF(M62="","",IF(COUNTIF(M$9:M62,M62)=1,MAX(O$8:O61)+1,""))</f>
        <v/>
      </c>
    </row>
    <row r="63" spans="1:15" x14ac:dyDescent="0.75">
      <c r="A63" s="24" t="str">
        <f>IF(N63="W",COUNTIF(N$9:N63,"W"),"")</f>
        <v/>
      </c>
      <c r="B63" s="25"/>
      <c r="C63" s="25"/>
      <c r="D63" s="26"/>
      <c r="E63" s="25"/>
      <c r="F63" s="27"/>
      <c r="G63" s="28"/>
      <c r="H63" s="28"/>
      <c r="I63" s="29" t="str">
        <f t="shared" si="0"/>
        <v/>
      </c>
      <c r="J63" s="30" t="str">
        <f t="shared" si="1"/>
        <v/>
      </c>
      <c r="K63" s="26"/>
      <c r="L63" s="24" t="str">
        <f>IF(N63="","",IF(N63="T","Título de capítulo",IF(OR(ISERROR(F63),ISERROR(G63),ISERROR(H63)),"Error en fórmula: pegá como valores",IF(AND(B63="",$C$6=""),"Falta sector",IF(M63="","Falta capítulo",IF(TRIM(E63)="","Falta unidad",IF(NOT((COUNTIF(Listas!$A$2:$A$40,E63)+COUNTIF(Listas!$D$2:$D$60,E63)&gt;0)),"Unidad no reconocida",IF(AND(F63&lt;&gt;"",NOT(ISNUMBER(F63))),"Cantidad no es número",IF(N(F63)&lt;=0,"Falta cantidad",IF(OR(AND(G63&lt;&gt;"",NOT(ISNUMBER(G63))),AND(H63&lt;&gt;"",NOT(ISNUMBER(H63)))),"Precio no es número",IF(N(G63)+N(H63)&lt;=0,"Falta precio","✓ OK")))))))))))</f>
        <v/>
      </c>
      <c r="M63" t="str">
        <f>IF(N63&lt;&gt;"W","",IF(TRIM(C63)&lt;&gt;"",TRIM(C63),IFERROR(LOOKUP(2,1/(N$9:N63="T"),D$9:D63),"")))</f>
        <v/>
      </c>
      <c r="N63" t="str">
        <f t="shared" si="2"/>
        <v/>
      </c>
      <c r="O63" t="str">
        <f>IF(M63="","",IF(COUNTIF(M$9:M63,M63)=1,MAX(O$8:O62)+1,""))</f>
        <v/>
      </c>
    </row>
    <row r="64" spans="1:15" x14ac:dyDescent="0.75">
      <c r="A64" s="24" t="str">
        <f>IF(N64="W",COUNTIF(N$9:N64,"W"),"")</f>
        <v/>
      </c>
      <c r="B64" s="25"/>
      <c r="C64" s="25"/>
      <c r="D64" s="26"/>
      <c r="E64" s="25"/>
      <c r="F64" s="27"/>
      <c r="G64" s="28"/>
      <c r="H64" s="28"/>
      <c r="I64" s="29" t="str">
        <f t="shared" si="0"/>
        <v/>
      </c>
      <c r="J64" s="30" t="str">
        <f t="shared" si="1"/>
        <v/>
      </c>
      <c r="K64" s="26"/>
      <c r="L64" s="24" t="str">
        <f>IF(N64="","",IF(N64="T","Título de capítulo",IF(OR(ISERROR(F64),ISERROR(G64),ISERROR(H64)),"Error en fórmula: pegá como valores",IF(AND(B64="",$C$6=""),"Falta sector",IF(M64="","Falta capítulo",IF(TRIM(E64)="","Falta unidad",IF(NOT((COUNTIF(Listas!$A$2:$A$40,E64)+COUNTIF(Listas!$D$2:$D$60,E64)&gt;0)),"Unidad no reconocida",IF(AND(F64&lt;&gt;"",NOT(ISNUMBER(F64))),"Cantidad no es número",IF(N(F64)&lt;=0,"Falta cantidad",IF(OR(AND(G64&lt;&gt;"",NOT(ISNUMBER(G64))),AND(H64&lt;&gt;"",NOT(ISNUMBER(H64)))),"Precio no es número",IF(N(G64)+N(H64)&lt;=0,"Falta precio","✓ OK")))))))))))</f>
        <v/>
      </c>
      <c r="M64" t="str">
        <f>IF(N64&lt;&gt;"W","",IF(TRIM(C64)&lt;&gt;"",TRIM(C64),IFERROR(LOOKUP(2,1/(N$9:N64="T"),D$9:D64),"")))</f>
        <v/>
      </c>
      <c r="N64" t="str">
        <f t="shared" si="2"/>
        <v/>
      </c>
      <c r="O64" t="str">
        <f>IF(M64="","",IF(COUNTIF(M$9:M64,M64)=1,MAX(O$8:O63)+1,""))</f>
        <v/>
      </c>
    </row>
    <row r="65" spans="1:15" x14ac:dyDescent="0.75">
      <c r="A65" s="24" t="str">
        <f>IF(N65="W",COUNTIF(N$9:N65,"W"),"")</f>
        <v/>
      </c>
      <c r="B65" s="25"/>
      <c r="C65" s="25"/>
      <c r="D65" s="26"/>
      <c r="E65" s="25"/>
      <c r="F65" s="27"/>
      <c r="G65" s="28"/>
      <c r="H65" s="28"/>
      <c r="I65" s="29" t="str">
        <f t="shared" si="0"/>
        <v/>
      </c>
      <c r="J65" s="30" t="str">
        <f t="shared" si="1"/>
        <v/>
      </c>
      <c r="K65" s="26"/>
      <c r="L65" s="24" t="str">
        <f>IF(N65="","",IF(N65="T","Título de capítulo",IF(OR(ISERROR(F65),ISERROR(G65),ISERROR(H65)),"Error en fórmula: pegá como valores",IF(AND(B65="",$C$6=""),"Falta sector",IF(M65="","Falta capítulo",IF(TRIM(E65)="","Falta unidad",IF(NOT((COUNTIF(Listas!$A$2:$A$40,E65)+COUNTIF(Listas!$D$2:$D$60,E65)&gt;0)),"Unidad no reconocida",IF(AND(F65&lt;&gt;"",NOT(ISNUMBER(F65))),"Cantidad no es número",IF(N(F65)&lt;=0,"Falta cantidad",IF(OR(AND(G65&lt;&gt;"",NOT(ISNUMBER(G65))),AND(H65&lt;&gt;"",NOT(ISNUMBER(H65)))),"Precio no es número",IF(N(G65)+N(H65)&lt;=0,"Falta precio","✓ OK")))))))))))</f>
        <v/>
      </c>
      <c r="M65" t="str">
        <f>IF(N65&lt;&gt;"W","",IF(TRIM(C65)&lt;&gt;"",TRIM(C65),IFERROR(LOOKUP(2,1/(N$9:N65="T"),D$9:D65),"")))</f>
        <v/>
      </c>
      <c r="N65" t="str">
        <f t="shared" si="2"/>
        <v/>
      </c>
      <c r="O65" t="str">
        <f>IF(M65="","",IF(COUNTIF(M$9:M65,M65)=1,MAX(O$8:O64)+1,""))</f>
        <v/>
      </c>
    </row>
    <row r="66" spans="1:15" x14ac:dyDescent="0.75">
      <c r="A66" s="24" t="str">
        <f>IF(N66="W",COUNTIF(N$9:N66,"W"),"")</f>
        <v/>
      </c>
      <c r="B66" s="25"/>
      <c r="C66" s="25"/>
      <c r="D66" s="26"/>
      <c r="E66" s="25"/>
      <c r="F66" s="27"/>
      <c r="G66" s="28"/>
      <c r="H66" s="28"/>
      <c r="I66" s="29" t="str">
        <f t="shared" si="0"/>
        <v/>
      </c>
      <c r="J66" s="30" t="str">
        <f t="shared" si="1"/>
        <v/>
      </c>
      <c r="K66" s="26"/>
      <c r="L66" s="24" t="str">
        <f>IF(N66="","",IF(N66="T","Título de capítulo",IF(OR(ISERROR(F66),ISERROR(G66),ISERROR(H66)),"Error en fórmula: pegá como valores",IF(AND(B66="",$C$6=""),"Falta sector",IF(M66="","Falta capítulo",IF(TRIM(E66)="","Falta unidad",IF(NOT((COUNTIF(Listas!$A$2:$A$40,E66)+COUNTIF(Listas!$D$2:$D$60,E66)&gt;0)),"Unidad no reconocida",IF(AND(F66&lt;&gt;"",NOT(ISNUMBER(F66))),"Cantidad no es número",IF(N(F66)&lt;=0,"Falta cantidad",IF(OR(AND(G66&lt;&gt;"",NOT(ISNUMBER(G66))),AND(H66&lt;&gt;"",NOT(ISNUMBER(H66)))),"Precio no es número",IF(N(G66)+N(H66)&lt;=0,"Falta precio","✓ OK")))))))))))</f>
        <v/>
      </c>
      <c r="M66" t="str">
        <f>IF(N66&lt;&gt;"W","",IF(TRIM(C66)&lt;&gt;"",TRIM(C66),IFERROR(LOOKUP(2,1/(N$9:N66="T"),D$9:D66),"")))</f>
        <v/>
      </c>
      <c r="N66" t="str">
        <f t="shared" si="2"/>
        <v/>
      </c>
      <c r="O66" t="str">
        <f>IF(M66="","",IF(COUNTIF(M$9:M66,M66)=1,MAX(O$8:O65)+1,""))</f>
        <v/>
      </c>
    </row>
    <row r="67" spans="1:15" x14ac:dyDescent="0.75">
      <c r="A67" s="24" t="str">
        <f>IF(N67="W",COUNTIF(N$9:N67,"W"),"")</f>
        <v/>
      </c>
      <c r="B67" s="25"/>
      <c r="C67" s="25"/>
      <c r="D67" s="26"/>
      <c r="E67" s="25"/>
      <c r="F67" s="27"/>
      <c r="G67" s="28"/>
      <c r="H67" s="28"/>
      <c r="I67" s="29" t="str">
        <f t="shared" si="0"/>
        <v/>
      </c>
      <c r="J67" s="30" t="str">
        <f t="shared" si="1"/>
        <v/>
      </c>
      <c r="K67" s="26"/>
      <c r="L67" s="24" t="str">
        <f>IF(N67="","",IF(N67="T","Título de capítulo",IF(OR(ISERROR(F67),ISERROR(G67),ISERROR(H67)),"Error en fórmula: pegá como valores",IF(AND(B67="",$C$6=""),"Falta sector",IF(M67="","Falta capítulo",IF(TRIM(E67)="","Falta unidad",IF(NOT((COUNTIF(Listas!$A$2:$A$40,E67)+COUNTIF(Listas!$D$2:$D$60,E67)&gt;0)),"Unidad no reconocida",IF(AND(F67&lt;&gt;"",NOT(ISNUMBER(F67))),"Cantidad no es número",IF(N(F67)&lt;=0,"Falta cantidad",IF(OR(AND(G67&lt;&gt;"",NOT(ISNUMBER(G67))),AND(H67&lt;&gt;"",NOT(ISNUMBER(H67)))),"Precio no es número",IF(N(G67)+N(H67)&lt;=0,"Falta precio","✓ OK")))))))))))</f>
        <v/>
      </c>
      <c r="M67" t="str">
        <f>IF(N67&lt;&gt;"W","",IF(TRIM(C67)&lt;&gt;"",TRIM(C67),IFERROR(LOOKUP(2,1/(N$9:N67="T"),D$9:D67),"")))</f>
        <v/>
      </c>
      <c r="N67" t="str">
        <f t="shared" si="2"/>
        <v/>
      </c>
      <c r="O67" t="str">
        <f>IF(M67="","",IF(COUNTIF(M$9:M67,M67)=1,MAX(O$8:O66)+1,""))</f>
        <v/>
      </c>
    </row>
    <row r="68" spans="1:15" x14ac:dyDescent="0.75">
      <c r="A68" s="24" t="str">
        <f>IF(N68="W",COUNTIF(N$9:N68,"W"),"")</f>
        <v/>
      </c>
      <c r="B68" s="25"/>
      <c r="C68" s="25"/>
      <c r="D68" s="26"/>
      <c r="E68" s="25"/>
      <c r="F68" s="27"/>
      <c r="G68" s="28"/>
      <c r="H68" s="28"/>
      <c r="I68" s="29" t="str">
        <f t="shared" si="0"/>
        <v/>
      </c>
      <c r="J68" s="30" t="str">
        <f t="shared" si="1"/>
        <v/>
      </c>
      <c r="K68" s="26"/>
      <c r="L68" s="24" t="str">
        <f>IF(N68="","",IF(N68="T","Título de capítulo",IF(OR(ISERROR(F68),ISERROR(G68),ISERROR(H68)),"Error en fórmula: pegá como valores",IF(AND(B68="",$C$6=""),"Falta sector",IF(M68="","Falta capítulo",IF(TRIM(E68)="","Falta unidad",IF(NOT((COUNTIF(Listas!$A$2:$A$40,E68)+COUNTIF(Listas!$D$2:$D$60,E68)&gt;0)),"Unidad no reconocida",IF(AND(F68&lt;&gt;"",NOT(ISNUMBER(F68))),"Cantidad no es número",IF(N(F68)&lt;=0,"Falta cantidad",IF(OR(AND(G68&lt;&gt;"",NOT(ISNUMBER(G68))),AND(H68&lt;&gt;"",NOT(ISNUMBER(H68)))),"Precio no es número",IF(N(G68)+N(H68)&lt;=0,"Falta precio","✓ OK")))))))))))</f>
        <v/>
      </c>
      <c r="M68" t="str">
        <f>IF(N68&lt;&gt;"W","",IF(TRIM(C68)&lt;&gt;"",TRIM(C68),IFERROR(LOOKUP(2,1/(N$9:N68="T"),D$9:D68),"")))</f>
        <v/>
      </c>
      <c r="N68" t="str">
        <f t="shared" si="2"/>
        <v/>
      </c>
      <c r="O68" t="str">
        <f>IF(M68="","",IF(COUNTIF(M$9:M68,M68)=1,MAX(O$8:O67)+1,""))</f>
        <v/>
      </c>
    </row>
    <row r="69" spans="1:15" x14ac:dyDescent="0.75">
      <c r="A69" s="24" t="str">
        <f>IF(N69="W",COUNTIF(N$9:N69,"W"),"")</f>
        <v/>
      </c>
      <c r="B69" s="25"/>
      <c r="C69" s="25"/>
      <c r="D69" s="26"/>
      <c r="E69" s="25"/>
      <c r="F69" s="27"/>
      <c r="G69" s="28"/>
      <c r="H69" s="28"/>
      <c r="I69" s="29" t="str">
        <f t="shared" si="0"/>
        <v/>
      </c>
      <c r="J69" s="30" t="str">
        <f t="shared" si="1"/>
        <v/>
      </c>
      <c r="K69" s="26"/>
      <c r="L69" s="24" t="str">
        <f>IF(N69="","",IF(N69="T","Título de capítulo",IF(OR(ISERROR(F69),ISERROR(G69),ISERROR(H69)),"Error en fórmula: pegá como valores",IF(AND(B69="",$C$6=""),"Falta sector",IF(M69="","Falta capítulo",IF(TRIM(E69)="","Falta unidad",IF(NOT((COUNTIF(Listas!$A$2:$A$40,E69)+COUNTIF(Listas!$D$2:$D$60,E69)&gt;0)),"Unidad no reconocida",IF(AND(F69&lt;&gt;"",NOT(ISNUMBER(F69))),"Cantidad no es número",IF(N(F69)&lt;=0,"Falta cantidad",IF(OR(AND(G69&lt;&gt;"",NOT(ISNUMBER(G69))),AND(H69&lt;&gt;"",NOT(ISNUMBER(H69)))),"Precio no es número",IF(N(G69)+N(H69)&lt;=0,"Falta precio","✓ OK")))))))))))</f>
        <v/>
      </c>
      <c r="M69" t="str">
        <f>IF(N69&lt;&gt;"W","",IF(TRIM(C69)&lt;&gt;"",TRIM(C69),IFERROR(LOOKUP(2,1/(N$9:N69="T"),D$9:D69),"")))</f>
        <v/>
      </c>
      <c r="N69" t="str">
        <f t="shared" si="2"/>
        <v/>
      </c>
      <c r="O69" t="str">
        <f>IF(M69="","",IF(COUNTIF(M$9:M69,M69)=1,MAX(O$8:O68)+1,""))</f>
        <v/>
      </c>
    </row>
    <row r="70" spans="1:15" x14ac:dyDescent="0.75">
      <c r="A70" s="24" t="str">
        <f>IF(N70="W",COUNTIF(N$9:N70,"W"),"")</f>
        <v/>
      </c>
      <c r="B70" s="25"/>
      <c r="C70" s="25"/>
      <c r="D70" s="26"/>
      <c r="E70" s="25"/>
      <c r="F70" s="27"/>
      <c r="G70" s="28"/>
      <c r="H70" s="28"/>
      <c r="I70" s="29" t="str">
        <f t="shared" si="0"/>
        <v/>
      </c>
      <c r="J70" s="30" t="str">
        <f t="shared" si="1"/>
        <v/>
      </c>
      <c r="K70" s="26"/>
      <c r="L70" s="24" t="str">
        <f>IF(N70="","",IF(N70="T","Título de capítulo",IF(OR(ISERROR(F70),ISERROR(G70),ISERROR(H70)),"Error en fórmula: pegá como valores",IF(AND(B70="",$C$6=""),"Falta sector",IF(M70="","Falta capítulo",IF(TRIM(E70)="","Falta unidad",IF(NOT((COUNTIF(Listas!$A$2:$A$40,E70)+COUNTIF(Listas!$D$2:$D$60,E70)&gt;0)),"Unidad no reconocida",IF(AND(F70&lt;&gt;"",NOT(ISNUMBER(F70))),"Cantidad no es número",IF(N(F70)&lt;=0,"Falta cantidad",IF(OR(AND(G70&lt;&gt;"",NOT(ISNUMBER(G70))),AND(H70&lt;&gt;"",NOT(ISNUMBER(H70)))),"Precio no es número",IF(N(G70)+N(H70)&lt;=0,"Falta precio","✓ OK")))))))))))</f>
        <v/>
      </c>
      <c r="M70" t="str">
        <f>IF(N70&lt;&gt;"W","",IF(TRIM(C70)&lt;&gt;"",TRIM(C70),IFERROR(LOOKUP(2,1/(N$9:N70="T"),D$9:D70),"")))</f>
        <v/>
      </c>
      <c r="N70" t="str">
        <f t="shared" si="2"/>
        <v/>
      </c>
      <c r="O70" t="str">
        <f>IF(M70="","",IF(COUNTIF(M$9:M70,M70)=1,MAX(O$8:O69)+1,""))</f>
        <v/>
      </c>
    </row>
    <row r="71" spans="1:15" x14ac:dyDescent="0.75">
      <c r="A71" s="24" t="str">
        <f>IF(N71="W",COUNTIF(N$9:N71,"W"),"")</f>
        <v/>
      </c>
      <c r="B71" s="25"/>
      <c r="C71" s="25"/>
      <c r="D71" s="26"/>
      <c r="E71" s="25"/>
      <c r="F71" s="27"/>
      <c r="G71" s="28"/>
      <c r="H71" s="28"/>
      <c r="I71" s="29" t="str">
        <f t="shared" si="0"/>
        <v/>
      </c>
      <c r="J71" s="30" t="str">
        <f t="shared" si="1"/>
        <v/>
      </c>
      <c r="K71" s="26"/>
      <c r="L71" s="24" t="str">
        <f>IF(N71="","",IF(N71="T","Título de capítulo",IF(OR(ISERROR(F71),ISERROR(G71),ISERROR(H71)),"Error en fórmula: pegá como valores",IF(AND(B71="",$C$6=""),"Falta sector",IF(M71="","Falta capítulo",IF(TRIM(E71)="","Falta unidad",IF(NOT((COUNTIF(Listas!$A$2:$A$40,E71)+COUNTIF(Listas!$D$2:$D$60,E71)&gt;0)),"Unidad no reconocida",IF(AND(F71&lt;&gt;"",NOT(ISNUMBER(F71))),"Cantidad no es número",IF(N(F71)&lt;=0,"Falta cantidad",IF(OR(AND(G71&lt;&gt;"",NOT(ISNUMBER(G71))),AND(H71&lt;&gt;"",NOT(ISNUMBER(H71)))),"Precio no es número",IF(N(G71)+N(H71)&lt;=0,"Falta precio","✓ OK")))))))))))</f>
        <v/>
      </c>
      <c r="M71" t="str">
        <f>IF(N71&lt;&gt;"W","",IF(TRIM(C71)&lt;&gt;"",TRIM(C71),IFERROR(LOOKUP(2,1/(N$9:N71="T"),D$9:D71),"")))</f>
        <v/>
      </c>
      <c r="N71" t="str">
        <f t="shared" si="2"/>
        <v/>
      </c>
      <c r="O71" t="str">
        <f>IF(M71="","",IF(COUNTIF(M$9:M71,M71)=1,MAX(O$8:O70)+1,""))</f>
        <v/>
      </c>
    </row>
    <row r="72" spans="1:15" x14ac:dyDescent="0.75">
      <c r="A72" s="24" t="str">
        <f>IF(N72="W",COUNTIF(N$9:N72,"W"),"")</f>
        <v/>
      </c>
      <c r="B72" s="25"/>
      <c r="C72" s="25"/>
      <c r="D72" s="26"/>
      <c r="E72" s="25"/>
      <c r="F72" s="27"/>
      <c r="G72" s="28"/>
      <c r="H72" s="28"/>
      <c r="I72" s="29" t="str">
        <f t="shared" si="0"/>
        <v/>
      </c>
      <c r="J72" s="30" t="str">
        <f t="shared" si="1"/>
        <v/>
      </c>
      <c r="K72" s="26"/>
      <c r="L72" s="24" t="str">
        <f>IF(N72="","",IF(N72="T","Título de capítulo",IF(OR(ISERROR(F72),ISERROR(G72),ISERROR(H72)),"Error en fórmula: pegá como valores",IF(AND(B72="",$C$6=""),"Falta sector",IF(M72="","Falta capítulo",IF(TRIM(E72)="","Falta unidad",IF(NOT((COUNTIF(Listas!$A$2:$A$40,E72)+COUNTIF(Listas!$D$2:$D$60,E72)&gt;0)),"Unidad no reconocida",IF(AND(F72&lt;&gt;"",NOT(ISNUMBER(F72))),"Cantidad no es número",IF(N(F72)&lt;=0,"Falta cantidad",IF(OR(AND(G72&lt;&gt;"",NOT(ISNUMBER(G72))),AND(H72&lt;&gt;"",NOT(ISNUMBER(H72)))),"Precio no es número",IF(N(G72)+N(H72)&lt;=0,"Falta precio","✓ OK")))))))))))</f>
        <v/>
      </c>
      <c r="M72" t="str">
        <f>IF(N72&lt;&gt;"W","",IF(TRIM(C72)&lt;&gt;"",TRIM(C72),IFERROR(LOOKUP(2,1/(N$9:N72="T"),D$9:D72),"")))</f>
        <v/>
      </c>
      <c r="N72" t="str">
        <f t="shared" si="2"/>
        <v/>
      </c>
      <c r="O72" t="str">
        <f>IF(M72="","",IF(COUNTIF(M$9:M72,M72)=1,MAX(O$8:O71)+1,""))</f>
        <v/>
      </c>
    </row>
    <row r="73" spans="1:15" x14ac:dyDescent="0.75">
      <c r="A73" s="24" t="str">
        <f>IF(N73="W",COUNTIF(N$9:N73,"W"),"")</f>
        <v/>
      </c>
      <c r="B73" s="25"/>
      <c r="C73" s="25"/>
      <c r="D73" s="26"/>
      <c r="E73" s="25"/>
      <c r="F73" s="27"/>
      <c r="G73" s="28"/>
      <c r="H73" s="28"/>
      <c r="I73" s="29" t="str">
        <f t="shared" ref="I73:I136" si="3">IF(N73="W",IFERROR(N(G73)+N(H73),0),"")</f>
        <v/>
      </c>
      <c r="J73" s="30" t="str">
        <f t="shared" ref="J73:J136" si="4">IF(N73="W",IFERROR(N(F73)*I73,0),"")</f>
        <v/>
      </c>
      <c r="K73" s="26"/>
      <c r="L73" s="24" t="str">
        <f>IF(N73="","",IF(N73="T","Título de capítulo",IF(OR(ISERROR(F73),ISERROR(G73),ISERROR(H73)),"Error en fórmula: pegá como valores",IF(AND(B73="",$C$6=""),"Falta sector",IF(M73="","Falta capítulo",IF(TRIM(E73)="","Falta unidad",IF(NOT((COUNTIF(Listas!$A$2:$A$40,E73)+COUNTIF(Listas!$D$2:$D$60,E73)&gt;0)),"Unidad no reconocida",IF(AND(F73&lt;&gt;"",NOT(ISNUMBER(F73))),"Cantidad no es número",IF(N(F73)&lt;=0,"Falta cantidad",IF(OR(AND(G73&lt;&gt;"",NOT(ISNUMBER(G73))),AND(H73&lt;&gt;"",NOT(ISNUMBER(H73)))),"Precio no es número",IF(N(G73)+N(H73)&lt;=0,"Falta precio","✓ OK")))))))))))</f>
        <v/>
      </c>
      <c r="M73" t="str">
        <f>IF(N73&lt;&gt;"W","",IF(TRIM(C73)&lt;&gt;"",TRIM(C73),IFERROR(LOOKUP(2,1/(N$9:N73="T"),D$9:D73),"")))</f>
        <v/>
      </c>
      <c r="N73" t="str">
        <f t="shared" ref="N73:N136" si="5">IF(TRIM(D73)="","",IF(AND(TRIM(E73)="",IFERROR(N(F73),1)=0,IFERROR(N(G73)+N(H73),1)=0),"T","W"))</f>
        <v/>
      </c>
      <c r="O73" t="str">
        <f>IF(M73="","",IF(COUNTIF(M$9:M73,M73)=1,MAX(O$8:O72)+1,""))</f>
        <v/>
      </c>
    </row>
    <row r="74" spans="1:15" x14ac:dyDescent="0.75">
      <c r="A74" s="24" t="str">
        <f>IF(N74="W",COUNTIF(N$9:N74,"W"),"")</f>
        <v/>
      </c>
      <c r="B74" s="25"/>
      <c r="C74" s="25"/>
      <c r="D74" s="26"/>
      <c r="E74" s="25"/>
      <c r="F74" s="27"/>
      <c r="G74" s="28"/>
      <c r="H74" s="28"/>
      <c r="I74" s="29" t="str">
        <f t="shared" si="3"/>
        <v/>
      </c>
      <c r="J74" s="30" t="str">
        <f t="shared" si="4"/>
        <v/>
      </c>
      <c r="K74" s="26"/>
      <c r="L74" s="24" t="str">
        <f>IF(N74="","",IF(N74="T","Título de capítulo",IF(OR(ISERROR(F74),ISERROR(G74),ISERROR(H74)),"Error en fórmula: pegá como valores",IF(AND(B74="",$C$6=""),"Falta sector",IF(M74="","Falta capítulo",IF(TRIM(E74)="","Falta unidad",IF(NOT((COUNTIF(Listas!$A$2:$A$40,E74)+COUNTIF(Listas!$D$2:$D$60,E74)&gt;0)),"Unidad no reconocida",IF(AND(F74&lt;&gt;"",NOT(ISNUMBER(F74))),"Cantidad no es número",IF(N(F74)&lt;=0,"Falta cantidad",IF(OR(AND(G74&lt;&gt;"",NOT(ISNUMBER(G74))),AND(H74&lt;&gt;"",NOT(ISNUMBER(H74)))),"Precio no es número",IF(N(G74)+N(H74)&lt;=0,"Falta precio","✓ OK")))))))))))</f>
        <v/>
      </c>
      <c r="M74" t="str">
        <f>IF(N74&lt;&gt;"W","",IF(TRIM(C74)&lt;&gt;"",TRIM(C74),IFERROR(LOOKUP(2,1/(N$9:N74="T"),D$9:D74),"")))</f>
        <v/>
      </c>
      <c r="N74" t="str">
        <f t="shared" si="5"/>
        <v/>
      </c>
      <c r="O74" t="str">
        <f>IF(M74="","",IF(COUNTIF(M$9:M74,M74)=1,MAX(O$8:O73)+1,""))</f>
        <v/>
      </c>
    </row>
    <row r="75" spans="1:15" x14ac:dyDescent="0.75">
      <c r="A75" s="24" t="str">
        <f>IF(N75="W",COUNTIF(N$9:N75,"W"),"")</f>
        <v/>
      </c>
      <c r="B75" s="25"/>
      <c r="C75" s="25"/>
      <c r="D75" s="26"/>
      <c r="E75" s="25"/>
      <c r="F75" s="27"/>
      <c r="G75" s="28"/>
      <c r="H75" s="28"/>
      <c r="I75" s="29" t="str">
        <f t="shared" si="3"/>
        <v/>
      </c>
      <c r="J75" s="30" t="str">
        <f t="shared" si="4"/>
        <v/>
      </c>
      <c r="K75" s="26"/>
      <c r="L75" s="24" t="str">
        <f>IF(N75="","",IF(N75="T","Título de capítulo",IF(OR(ISERROR(F75),ISERROR(G75),ISERROR(H75)),"Error en fórmula: pegá como valores",IF(AND(B75="",$C$6=""),"Falta sector",IF(M75="","Falta capítulo",IF(TRIM(E75)="","Falta unidad",IF(NOT((COUNTIF(Listas!$A$2:$A$40,E75)+COUNTIF(Listas!$D$2:$D$60,E75)&gt;0)),"Unidad no reconocida",IF(AND(F75&lt;&gt;"",NOT(ISNUMBER(F75))),"Cantidad no es número",IF(N(F75)&lt;=0,"Falta cantidad",IF(OR(AND(G75&lt;&gt;"",NOT(ISNUMBER(G75))),AND(H75&lt;&gt;"",NOT(ISNUMBER(H75)))),"Precio no es número",IF(N(G75)+N(H75)&lt;=0,"Falta precio","✓ OK")))))))))))</f>
        <v/>
      </c>
      <c r="M75" t="str">
        <f>IF(N75&lt;&gt;"W","",IF(TRIM(C75)&lt;&gt;"",TRIM(C75),IFERROR(LOOKUP(2,1/(N$9:N75="T"),D$9:D75),"")))</f>
        <v/>
      </c>
      <c r="N75" t="str">
        <f t="shared" si="5"/>
        <v/>
      </c>
      <c r="O75" t="str">
        <f>IF(M75="","",IF(COUNTIF(M$9:M75,M75)=1,MAX(O$8:O74)+1,""))</f>
        <v/>
      </c>
    </row>
    <row r="76" spans="1:15" x14ac:dyDescent="0.75">
      <c r="A76" s="24" t="str">
        <f>IF(N76="W",COUNTIF(N$9:N76,"W"),"")</f>
        <v/>
      </c>
      <c r="B76" s="25"/>
      <c r="C76" s="25"/>
      <c r="D76" s="26"/>
      <c r="E76" s="25"/>
      <c r="F76" s="27"/>
      <c r="G76" s="28"/>
      <c r="H76" s="28"/>
      <c r="I76" s="29" t="str">
        <f t="shared" si="3"/>
        <v/>
      </c>
      <c r="J76" s="30" t="str">
        <f t="shared" si="4"/>
        <v/>
      </c>
      <c r="K76" s="26"/>
      <c r="L76" s="24" t="str">
        <f>IF(N76="","",IF(N76="T","Título de capítulo",IF(OR(ISERROR(F76),ISERROR(G76),ISERROR(H76)),"Error en fórmula: pegá como valores",IF(AND(B76="",$C$6=""),"Falta sector",IF(M76="","Falta capítulo",IF(TRIM(E76)="","Falta unidad",IF(NOT((COUNTIF(Listas!$A$2:$A$40,E76)+COUNTIF(Listas!$D$2:$D$60,E76)&gt;0)),"Unidad no reconocida",IF(AND(F76&lt;&gt;"",NOT(ISNUMBER(F76))),"Cantidad no es número",IF(N(F76)&lt;=0,"Falta cantidad",IF(OR(AND(G76&lt;&gt;"",NOT(ISNUMBER(G76))),AND(H76&lt;&gt;"",NOT(ISNUMBER(H76)))),"Precio no es número",IF(N(G76)+N(H76)&lt;=0,"Falta precio","✓ OK")))))))))))</f>
        <v/>
      </c>
      <c r="M76" t="str">
        <f>IF(N76&lt;&gt;"W","",IF(TRIM(C76)&lt;&gt;"",TRIM(C76),IFERROR(LOOKUP(2,1/(N$9:N76="T"),D$9:D76),"")))</f>
        <v/>
      </c>
      <c r="N76" t="str">
        <f t="shared" si="5"/>
        <v/>
      </c>
      <c r="O76" t="str">
        <f>IF(M76="","",IF(COUNTIF(M$9:M76,M76)=1,MAX(O$8:O75)+1,""))</f>
        <v/>
      </c>
    </row>
    <row r="77" spans="1:15" x14ac:dyDescent="0.75">
      <c r="A77" s="24" t="str">
        <f>IF(N77="W",COUNTIF(N$9:N77,"W"),"")</f>
        <v/>
      </c>
      <c r="B77" s="25"/>
      <c r="C77" s="25"/>
      <c r="D77" s="26"/>
      <c r="E77" s="25"/>
      <c r="F77" s="27"/>
      <c r="G77" s="28"/>
      <c r="H77" s="28"/>
      <c r="I77" s="29" t="str">
        <f t="shared" si="3"/>
        <v/>
      </c>
      <c r="J77" s="30" t="str">
        <f t="shared" si="4"/>
        <v/>
      </c>
      <c r="K77" s="26"/>
      <c r="L77" s="24" t="str">
        <f>IF(N77="","",IF(N77="T","Título de capítulo",IF(OR(ISERROR(F77),ISERROR(G77),ISERROR(H77)),"Error en fórmula: pegá como valores",IF(AND(B77="",$C$6=""),"Falta sector",IF(M77="","Falta capítulo",IF(TRIM(E77)="","Falta unidad",IF(NOT((COUNTIF(Listas!$A$2:$A$40,E77)+COUNTIF(Listas!$D$2:$D$60,E77)&gt;0)),"Unidad no reconocida",IF(AND(F77&lt;&gt;"",NOT(ISNUMBER(F77))),"Cantidad no es número",IF(N(F77)&lt;=0,"Falta cantidad",IF(OR(AND(G77&lt;&gt;"",NOT(ISNUMBER(G77))),AND(H77&lt;&gt;"",NOT(ISNUMBER(H77)))),"Precio no es número",IF(N(G77)+N(H77)&lt;=0,"Falta precio","✓ OK")))))))))))</f>
        <v/>
      </c>
      <c r="M77" t="str">
        <f>IF(N77&lt;&gt;"W","",IF(TRIM(C77)&lt;&gt;"",TRIM(C77),IFERROR(LOOKUP(2,1/(N$9:N77="T"),D$9:D77),"")))</f>
        <v/>
      </c>
      <c r="N77" t="str">
        <f t="shared" si="5"/>
        <v/>
      </c>
      <c r="O77" t="str">
        <f>IF(M77="","",IF(COUNTIF(M$9:M77,M77)=1,MAX(O$8:O76)+1,""))</f>
        <v/>
      </c>
    </row>
    <row r="78" spans="1:15" x14ac:dyDescent="0.75">
      <c r="A78" s="24" t="str">
        <f>IF(N78="W",COUNTIF(N$9:N78,"W"),"")</f>
        <v/>
      </c>
      <c r="B78" s="25"/>
      <c r="C78" s="25"/>
      <c r="D78" s="26"/>
      <c r="E78" s="25"/>
      <c r="F78" s="27"/>
      <c r="G78" s="28"/>
      <c r="H78" s="28"/>
      <c r="I78" s="29" t="str">
        <f t="shared" si="3"/>
        <v/>
      </c>
      <c r="J78" s="30" t="str">
        <f t="shared" si="4"/>
        <v/>
      </c>
      <c r="K78" s="26"/>
      <c r="L78" s="24" t="str">
        <f>IF(N78="","",IF(N78="T","Título de capítulo",IF(OR(ISERROR(F78),ISERROR(G78),ISERROR(H78)),"Error en fórmula: pegá como valores",IF(AND(B78="",$C$6=""),"Falta sector",IF(M78="","Falta capítulo",IF(TRIM(E78)="","Falta unidad",IF(NOT((COUNTIF(Listas!$A$2:$A$40,E78)+COUNTIF(Listas!$D$2:$D$60,E78)&gt;0)),"Unidad no reconocida",IF(AND(F78&lt;&gt;"",NOT(ISNUMBER(F78))),"Cantidad no es número",IF(N(F78)&lt;=0,"Falta cantidad",IF(OR(AND(G78&lt;&gt;"",NOT(ISNUMBER(G78))),AND(H78&lt;&gt;"",NOT(ISNUMBER(H78)))),"Precio no es número",IF(N(G78)+N(H78)&lt;=0,"Falta precio","✓ OK")))))))))))</f>
        <v/>
      </c>
      <c r="M78" t="str">
        <f>IF(N78&lt;&gt;"W","",IF(TRIM(C78)&lt;&gt;"",TRIM(C78),IFERROR(LOOKUP(2,1/(N$9:N78="T"),D$9:D78),"")))</f>
        <v/>
      </c>
      <c r="N78" t="str">
        <f t="shared" si="5"/>
        <v/>
      </c>
      <c r="O78" t="str">
        <f>IF(M78="","",IF(COUNTIF(M$9:M78,M78)=1,MAX(O$8:O77)+1,""))</f>
        <v/>
      </c>
    </row>
    <row r="79" spans="1:15" x14ac:dyDescent="0.75">
      <c r="A79" s="24" t="str">
        <f>IF(N79="W",COUNTIF(N$9:N79,"W"),"")</f>
        <v/>
      </c>
      <c r="B79" s="25"/>
      <c r="C79" s="25"/>
      <c r="D79" s="26"/>
      <c r="E79" s="25"/>
      <c r="F79" s="27"/>
      <c r="G79" s="28"/>
      <c r="H79" s="28"/>
      <c r="I79" s="29" t="str">
        <f t="shared" si="3"/>
        <v/>
      </c>
      <c r="J79" s="30" t="str">
        <f t="shared" si="4"/>
        <v/>
      </c>
      <c r="K79" s="26"/>
      <c r="L79" s="24" t="str">
        <f>IF(N79="","",IF(N79="T","Título de capítulo",IF(OR(ISERROR(F79),ISERROR(G79),ISERROR(H79)),"Error en fórmula: pegá como valores",IF(AND(B79="",$C$6=""),"Falta sector",IF(M79="","Falta capítulo",IF(TRIM(E79)="","Falta unidad",IF(NOT((COUNTIF(Listas!$A$2:$A$40,E79)+COUNTIF(Listas!$D$2:$D$60,E79)&gt;0)),"Unidad no reconocida",IF(AND(F79&lt;&gt;"",NOT(ISNUMBER(F79))),"Cantidad no es número",IF(N(F79)&lt;=0,"Falta cantidad",IF(OR(AND(G79&lt;&gt;"",NOT(ISNUMBER(G79))),AND(H79&lt;&gt;"",NOT(ISNUMBER(H79)))),"Precio no es número",IF(N(G79)+N(H79)&lt;=0,"Falta precio","✓ OK")))))))))))</f>
        <v/>
      </c>
      <c r="M79" t="str">
        <f>IF(N79&lt;&gt;"W","",IF(TRIM(C79)&lt;&gt;"",TRIM(C79),IFERROR(LOOKUP(2,1/(N$9:N79="T"),D$9:D79),"")))</f>
        <v/>
      </c>
      <c r="N79" t="str">
        <f t="shared" si="5"/>
        <v/>
      </c>
      <c r="O79" t="str">
        <f>IF(M79="","",IF(COUNTIF(M$9:M79,M79)=1,MAX(O$8:O78)+1,""))</f>
        <v/>
      </c>
    </row>
    <row r="80" spans="1:15" x14ac:dyDescent="0.75">
      <c r="A80" s="24" t="str">
        <f>IF(N80="W",COUNTIF(N$9:N80,"W"),"")</f>
        <v/>
      </c>
      <c r="B80" s="25"/>
      <c r="C80" s="25"/>
      <c r="D80" s="26"/>
      <c r="E80" s="25"/>
      <c r="F80" s="27"/>
      <c r="G80" s="28"/>
      <c r="H80" s="28"/>
      <c r="I80" s="29" t="str">
        <f t="shared" si="3"/>
        <v/>
      </c>
      <c r="J80" s="30" t="str">
        <f t="shared" si="4"/>
        <v/>
      </c>
      <c r="K80" s="26"/>
      <c r="L80" s="24" t="str">
        <f>IF(N80="","",IF(N80="T","Título de capítulo",IF(OR(ISERROR(F80),ISERROR(G80),ISERROR(H80)),"Error en fórmula: pegá como valores",IF(AND(B80="",$C$6=""),"Falta sector",IF(M80="","Falta capítulo",IF(TRIM(E80)="","Falta unidad",IF(NOT((COUNTIF(Listas!$A$2:$A$40,E80)+COUNTIF(Listas!$D$2:$D$60,E80)&gt;0)),"Unidad no reconocida",IF(AND(F80&lt;&gt;"",NOT(ISNUMBER(F80))),"Cantidad no es número",IF(N(F80)&lt;=0,"Falta cantidad",IF(OR(AND(G80&lt;&gt;"",NOT(ISNUMBER(G80))),AND(H80&lt;&gt;"",NOT(ISNUMBER(H80)))),"Precio no es número",IF(N(G80)+N(H80)&lt;=0,"Falta precio","✓ OK")))))))))))</f>
        <v/>
      </c>
      <c r="M80" t="str">
        <f>IF(N80&lt;&gt;"W","",IF(TRIM(C80)&lt;&gt;"",TRIM(C80),IFERROR(LOOKUP(2,1/(N$9:N80="T"),D$9:D80),"")))</f>
        <v/>
      </c>
      <c r="N80" t="str">
        <f t="shared" si="5"/>
        <v/>
      </c>
      <c r="O80" t="str">
        <f>IF(M80="","",IF(COUNTIF(M$9:M80,M80)=1,MAX(O$8:O79)+1,""))</f>
        <v/>
      </c>
    </row>
    <row r="81" spans="1:15" x14ac:dyDescent="0.75">
      <c r="A81" s="24" t="str">
        <f>IF(N81="W",COUNTIF(N$9:N81,"W"),"")</f>
        <v/>
      </c>
      <c r="B81" s="25"/>
      <c r="C81" s="25"/>
      <c r="D81" s="26"/>
      <c r="E81" s="25"/>
      <c r="F81" s="27"/>
      <c r="G81" s="28"/>
      <c r="H81" s="28"/>
      <c r="I81" s="29" t="str">
        <f t="shared" si="3"/>
        <v/>
      </c>
      <c r="J81" s="30" t="str">
        <f t="shared" si="4"/>
        <v/>
      </c>
      <c r="K81" s="26"/>
      <c r="L81" s="24" t="str">
        <f>IF(N81="","",IF(N81="T","Título de capítulo",IF(OR(ISERROR(F81),ISERROR(G81),ISERROR(H81)),"Error en fórmula: pegá como valores",IF(AND(B81="",$C$6=""),"Falta sector",IF(M81="","Falta capítulo",IF(TRIM(E81)="","Falta unidad",IF(NOT((COUNTIF(Listas!$A$2:$A$40,E81)+COUNTIF(Listas!$D$2:$D$60,E81)&gt;0)),"Unidad no reconocida",IF(AND(F81&lt;&gt;"",NOT(ISNUMBER(F81))),"Cantidad no es número",IF(N(F81)&lt;=0,"Falta cantidad",IF(OR(AND(G81&lt;&gt;"",NOT(ISNUMBER(G81))),AND(H81&lt;&gt;"",NOT(ISNUMBER(H81)))),"Precio no es número",IF(N(G81)+N(H81)&lt;=0,"Falta precio","✓ OK")))))))))))</f>
        <v/>
      </c>
      <c r="M81" t="str">
        <f>IF(N81&lt;&gt;"W","",IF(TRIM(C81)&lt;&gt;"",TRIM(C81),IFERROR(LOOKUP(2,1/(N$9:N81="T"),D$9:D81),"")))</f>
        <v/>
      </c>
      <c r="N81" t="str">
        <f t="shared" si="5"/>
        <v/>
      </c>
      <c r="O81" t="str">
        <f>IF(M81="","",IF(COUNTIF(M$9:M81,M81)=1,MAX(O$8:O80)+1,""))</f>
        <v/>
      </c>
    </row>
    <row r="82" spans="1:15" x14ac:dyDescent="0.75">
      <c r="A82" s="24" t="str">
        <f>IF(N82="W",COUNTIF(N$9:N82,"W"),"")</f>
        <v/>
      </c>
      <c r="B82" s="25"/>
      <c r="C82" s="25"/>
      <c r="D82" s="26"/>
      <c r="E82" s="25"/>
      <c r="F82" s="27"/>
      <c r="G82" s="28"/>
      <c r="H82" s="28"/>
      <c r="I82" s="29" t="str">
        <f t="shared" si="3"/>
        <v/>
      </c>
      <c r="J82" s="30" t="str">
        <f t="shared" si="4"/>
        <v/>
      </c>
      <c r="K82" s="26"/>
      <c r="L82" s="24" t="str">
        <f>IF(N82="","",IF(N82="T","Título de capítulo",IF(OR(ISERROR(F82),ISERROR(G82),ISERROR(H82)),"Error en fórmula: pegá como valores",IF(AND(B82="",$C$6=""),"Falta sector",IF(M82="","Falta capítulo",IF(TRIM(E82)="","Falta unidad",IF(NOT((COUNTIF(Listas!$A$2:$A$40,E82)+COUNTIF(Listas!$D$2:$D$60,E82)&gt;0)),"Unidad no reconocida",IF(AND(F82&lt;&gt;"",NOT(ISNUMBER(F82))),"Cantidad no es número",IF(N(F82)&lt;=0,"Falta cantidad",IF(OR(AND(G82&lt;&gt;"",NOT(ISNUMBER(G82))),AND(H82&lt;&gt;"",NOT(ISNUMBER(H82)))),"Precio no es número",IF(N(G82)+N(H82)&lt;=0,"Falta precio","✓ OK")))))))))))</f>
        <v/>
      </c>
      <c r="M82" t="str">
        <f>IF(N82&lt;&gt;"W","",IF(TRIM(C82)&lt;&gt;"",TRIM(C82),IFERROR(LOOKUP(2,1/(N$9:N82="T"),D$9:D82),"")))</f>
        <v/>
      </c>
      <c r="N82" t="str">
        <f t="shared" si="5"/>
        <v/>
      </c>
      <c r="O82" t="str">
        <f>IF(M82="","",IF(COUNTIF(M$9:M82,M82)=1,MAX(O$8:O81)+1,""))</f>
        <v/>
      </c>
    </row>
    <row r="83" spans="1:15" x14ac:dyDescent="0.75">
      <c r="A83" s="24" t="str">
        <f>IF(N83="W",COUNTIF(N$9:N83,"W"),"")</f>
        <v/>
      </c>
      <c r="B83" s="25"/>
      <c r="C83" s="25"/>
      <c r="D83" s="26"/>
      <c r="E83" s="25"/>
      <c r="F83" s="27"/>
      <c r="G83" s="28"/>
      <c r="H83" s="28"/>
      <c r="I83" s="29" t="str">
        <f t="shared" si="3"/>
        <v/>
      </c>
      <c r="J83" s="30" t="str">
        <f t="shared" si="4"/>
        <v/>
      </c>
      <c r="K83" s="26"/>
      <c r="L83" s="24" t="str">
        <f>IF(N83="","",IF(N83="T","Título de capítulo",IF(OR(ISERROR(F83),ISERROR(G83),ISERROR(H83)),"Error en fórmula: pegá como valores",IF(AND(B83="",$C$6=""),"Falta sector",IF(M83="","Falta capítulo",IF(TRIM(E83)="","Falta unidad",IF(NOT((COUNTIF(Listas!$A$2:$A$40,E83)+COUNTIF(Listas!$D$2:$D$60,E83)&gt;0)),"Unidad no reconocida",IF(AND(F83&lt;&gt;"",NOT(ISNUMBER(F83))),"Cantidad no es número",IF(N(F83)&lt;=0,"Falta cantidad",IF(OR(AND(G83&lt;&gt;"",NOT(ISNUMBER(G83))),AND(H83&lt;&gt;"",NOT(ISNUMBER(H83)))),"Precio no es número",IF(N(G83)+N(H83)&lt;=0,"Falta precio","✓ OK")))))))))))</f>
        <v/>
      </c>
      <c r="M83" t="str">
        <f>IF(N83&lt;&gt;"W","",IF(TRIM(C83)&lt;&gt;"",TRIM(C83),IFERROR(LOOKUP(2,1/(N$9:N83="T"),D$9:D83),"")))</f>
        <v/>
      </c>
      <c r="N83" t="str">
        <f t="shared" si="5"/>
        <v/>
      </c>
      <c r="O83" t="str">
        <f>IF(M83="","",IF(COUNTIF(M$9:M83,M83)=1,MAX(O$8:O82)+1,""))</f>
        <v/>
      </c>
    </row>
    <row r="84" spans="1:15" x14ac:dyDescent="0.75">
      <c r="A84" s="24" t="str">
        <f>IF(N84="W",COUNTIF(N$9:N84,"W"),"")</f>
        <v/>
      </c>
      <c r="B84" s="25"/>
      <c r="C84" s="25"/>
      <c r="D84" s="26"/>
      <c r="E84" s="25"/>
      <c r="F84" s="27"/>
      <c r="G84" s="28"/>
      <c r="H84" s="28"/>
      <c r="I84" s="29" t="str">
        <f t="shared" si="3"/>
        <v/>
      </c>
      <c r="J84" s="30" t="str">
        <f t="shared" si="4"/>
        <v/>
      </c>
      <c r="K84" s="26"/>
      <c r="L84" s="24" t="str">
        <f>IF(N84="","",IF(N84="T","Título de capítulo",IF(OR(ISERROR(F84),ISERROR(G84),ISERROR(H84)),"Error en fórmula: pegá como valores",IF(AND(B84="",$C$6=""),"Falta sector",IF(M84="","Falta capítulo",IF(TRIM(E84)="","Falta unidad",IF(NOT((COUNTIF(Listas!$A$2:$A$40,E84)+COUNTIF(Listas!$D$2:$D$60,E84)&gt;0)),"Unidad no reconocida",IF(AND(F84&lt;&gt;"",NOT(ISNUMBER(F84))),"Cantidad no es número",IF(N(F84)&lt;=0,"Falta cantidad",IF(OR(AND(G84&lt;&gt;"",NOT(ISNUMBER(G84))),AND(H84&lt;&gt;"",NOT(ISNUMBER(H84)))),"Precio no es número",IF(N(G84)+N(H84)&lt;=0,"Falta precio","✓ OK")))))))))))</f>
        <v/>
      </c>
      <c r="M84" t="str">
        <f>IF(N84&lt;&gt;"W","",IF(TRIM(C84)&lt;&gt;"",TRIM(C84),IFERROR(LOOKUP(2,1/(N$9:N84="T"),D$9:D84),"")))</f>
        <v/>
      </c>
      <c r="N84" t="str">
        <f t="shared" si="5"/>
        <v/>
      </c>
      <c r="O84" t="str">
        <f>IF(M84="","",IF(COUNTIF(M$9:M84,M84)=1,MAX(O$8:O83)+1,""))</f>
        <v/>
      </c>
    </row>
    <row r="85" spans="1:15" x14ac:dyDescent="0.75">
      <c r="A85" s="24" t="str">
        <f>IF(N85="W",COUNTIF(N$9:N85,"W"),"")</f>
        <v/>
      </c>
      <c r="B85" s="25"/>
      <c r="C85" s="25"/>
      <c r="D85" s="26"/>
      <c r="E85" s="25"/>
      <c r="F85" s="27"/>
      <c r="G85" s="28"/>
      <c r="H85" s="28"/>
      <c r="I85" s="29" t="str">
        <f t="shared" si="3"/>
        <v/>
      </c>
      <c r="J85" s="30" t="str">
        <f t="shared" si="4"/>
        <v/>
      </c>
      <c r="K85" s="26"/>
      <c r="L85" s="24" t="str">
        <f>IF(N85="","",IF(N85="T","Título de capítulo",IF(OR(ISERROR(F85),ISERROR(G85),ISERROR(H85)),"Error en fórmula: pegá como valores",IF(AND(B85="",$C$6=""),"Falta sector",IF(M85="","Falta capítulo",IF(TRIM(E85)="","Falta unidad",IF(NOT((COUNTIF(Listas!$A$2:$A$40,E85)+COUNTIF(Listas!$D$2:$D$60,E85)&gt;0)),"Unidad no reconocida",IF(AND(F85&lt;&gt;"",NOT(ISNUMBER(F85))),"Cantidad no es número",IF(N(F85)&lt;=0,"Falta cantidad",IF(OR(AND(G85&lt;&gt;"",NOT(ISNUMBER(G85))),AND(H85&lt;&gt;"",NOT(ISNUMBER(H85)))),"Precio no es número",IF(N(G85)+N(H85)&lt;=0,"Falta precio","✓ OK")))))))))))</f>
        <v/>
      </c>
      <c r="M85" t="str">
        <f>IF(N85&lt;&gt;"W","",IF(TRIM(C85)&lt;&gt;"",TRIM(C85),IFERROR(LOOKUP(2,1/(N$9:N85="T"),D$9:D85),"")))</f>
        <v/>
      </c>
      <c r="N85" t="str">
        <f t="shared" si="5"/>
        <v/>
      </c>
      <c r="O85" t="str">
        <f>IF(M85="","",IF(COUNTIF(M$9:M85,M85)=1,MAX(O$8:O84)+1,""))</f>
        <v/>
      </c>
    </row>
    <row r="86" spans="1:15" x14ac:dyDescent="0.75">
      <c r="A86" s="24" t="str">
        <f>IF(N86="W",COUNTIF(N$9:N86,"W"),"")</f>
        <v/>
      </c>
      <c r="B86" s="25"/>
      <c r="C86" s="25"/>
      <c r="D86" s="26"/>
      <c r="E86" s="25"/>
      <c r="F86" s="27"/>
      <c r="G86" s="28"/>
      <c r="H86" s="28"/>
      <c r="I86" s="29" t="str">
        <f t="shared" si="3"/>
        <v/>
      </c>
      <c r="J86" s="30" t="str">
        <f t="shared" si="4"/>
        <v/>
      </c>
      <c r="K86" s="26"/>
      <c r="L86" s="24" t="str">
        <f>IF(N86="","",IF(N86="T","Título de capítulo",IF(OR(ISERROR(F86),ISERROR(G86),ISERROR(H86)),"Error en fórmula: pegá como valores",IF(AND(B86="",$C$6=""),"Falta sector",IF(M86="","Falta capítulo",IF(TRIM(E86)="","Falta unidad",IF(NOT((COUNTIF(Listas!$A$2:$A$40,E86)+COUNTIF(Listas!$D$2:$D$60,E86)&gt;0)),"Unidad no reconocida",IF(AND(F86&lt;&gt;"",NOT(ISNUMBER(F86))),"Cantidad no es número",IF(N(F86)&lt;=0,"Falta cantidad",IF(OR(AND(G86&lt;&gt;"",NOT(ISNUMBER(G86))),AND(H86&lt;&gt;"",NOT(ISNUMBER(H86)))),"Precio no es número",IF(N(G86)+N(H86)&lt;=0,"Falta precio","✓ OK")))))))))))</f>
        <v/>
      </c>
      <c r="M86" t="str">
        <f>IF(N86&lt;&gt;"W","",IF(TRIM(C86)&lt;&gt;"",TRIM(C86),IFERROR(LOOKUP(2,1/(N$9:N86="T"),D$9:D86),"")))</f>
        <v/>
      </c>
      <c r="N86" t="str">
        <f t="shared" si="5"/>
        <v/>
      </c>
      <c r="O86" t="str">
        <f>IF(M86="","",IF(COUNTIF(M$9:M86,M86)=1,MAX(O$8:O85)+1,""))</f>
        <v/>
      </c>
    </row>
    <row r="87" spans="1:15" x14ac:dyDescent="0.75">
      <c r="A87" s="24" t="str">
        <f>IF(N87="W",COUNTIF(N$9:N87,"W"),"")</f>
        <v/>
      </c>
      <c r="B87" s="25"/>
      <c r="C87" s="25"/>
      <c r="D87" s="26"/>
      <c r="E87" s="25"/>
      <c r="F87" s="27"/>
      <c r="G87" s="28"/>
      <c r="H87" s="28"/>
      <c r="I87" s="29" t="str">
        <f t="shared" si="3"/>
        <v/>
      </c>
      <c r="J87" s="30" t="str">
        <f t="shared" si="4"/>
        <v/>
      </c>
      <c r="K87" s="26"/>
      <c r="L87" s="24" t="str">
        <f>IF(N87="","",IF(N87="T","Título de capítulo",IF(OR(ISERROR(F87),ISERROR(G87),ISERROR(H87)),"Error en fórmula: pegá como valores",IF(AND(B87="",$C$6=""),"Falta sector",IF(M87="","Falta capítulo",IF(TRIM(E87)="","Falta unidad",IF(NOT((COUNTIF(Listas!$A$2:$A$40,E87)+COUNTIF(Listas!$D$2:$D$60,E87)&gt;0)),"Unidad no reconocida",IF(AND(F87&lt;&gt;"",NOT(ISNUMBER(F87))),"Cantidad no es número",IF(N(F87)&lt;=0,"Falta cantidad",IF(OR(AND(G87&lt;&gt;"",NOT(ISNUMBER(G87))),AND(H87&lt;&gt;"",NOT(ISNUMBER(H87)))),"Precio no es número",IF(N(G87)+N(H87)&lt;=0,"Falta precio","✓ OK")))))))))))</f>
        <v/>
      </c>
      <c r="M87" t="str">
        <f>IF(N87&lt;&gt;"W","",IF(TRIM(C87)&lt;&gt;"",TRIM(C87),IFERROR(LOOKUP(2,1/(N$9:N87="T"),D$9:D87),"")))</f>
        <v/>
      </c>
      <c r="N87" t="str">
        <f t="shared" si="5"/>
        <v/>
      </c>
      <c r="O87" t="str">
        <f>IF(M87="","",IF(COUNTIF(M$9:M87,M87)=1,MAX(O$8:O86)+1,""))</f>
        <v/>
      </c>
    </row>
    <row r="88" spans="1:15" x14ac:dyDescent="0.75">
      <c r="A88" s="24" t="str">
        <f>IF(N88="W",COUNTIF(N$9:N88,"W"),"")</f>
        <v/>
      </c>
      <c r="B88" s="25"/>
      <c r="C88" s="25"/>
      <c r="D88" s="26"/>
      <c r="E88" s="25"/>
      <c r="F88" s="27"/>
      <c r="G88" s="28"/>
      <c r="H88" s="28"/>
      <c r="I88" s="29" t="str">
        <f t="shared" si="3"/>
        <v/>
      </c>
      <c r="J88" s="30" t="str">
        <f t="shared" si="4"/>
        <v/>
      </c>
      <c r="K88" s="26"/>
      <c r="L88" s="24" t="str">
        <f>IF(N88="","",IF(N88="T","Título de capítulo",IF(OR(ISERROR(F88),ISERROR(G88),ISERROR(H88)),"Error en fórmula: pegá como valores",IF(AND(B88="",$C$6=""),"Falta sector",IF(M88="","Falta capítulo",IF(TRIM(E88)="","Falta unidad",IF(NOT((COUNTIF(Listas!$A$2:$A$40,E88)+COUNTIF(Listas!$D$2:$D$60,E88)&gt;0)),"Unidad no reconocida",IF(AND(F88&lt;&gt;"",NOT(ISNUMBER(F88))),"Cantidad no es número",IF(N(F88)&lt;=0,"Falta cantidad",IF(OR(AND(G88&lt;&gt;"",NOT(ISNUMBER(G88))),AND(H88&lt;&gt;"",NOT(ISNUMBER(H88)))),"Precio no es número",IF(N(G88)+N(H88)&lt;=0,"Falta precio","✓ OK")))))))))))</f>
        <v/>
      </c>
      <c r="M88" t="str">
        <f>IF(N88&lt;&gt;"W","",IF(TRIM(C88)&lt;&gt;"",TRIM(C88),IFERROR(LOOKUP(2,1/(N$9:N88="T"),D$9:D88),"")))</f>
        <v/>
      </c>
      <c r="N88" t="str">
        <f t="shared" si="5"/>
        <v/>
      </c>
      <c r="O88" t="str">
        <f>IF(M88="","",IF(COUNTIF(M$9:M88,M88)=1,MAX(O$8:O87)+1,""))</f>
        <v/>
      </c>
    </row>
    <row r="89" spans="1:15" x14ac:dyDescent="0.75">
      <c r="A89" s="24" t="str">
        <f>IF(N89="W",COUNTIF(N$9:N89,"W"),"")</f>
        <v/>
      </c>
      <c r="B89" s="25"/>
      <c r="C89" s="25"/>
      <c r="D89" s="26"/>
      <c r="E89" s="25"/>
      <c r="F89" s="27"/>
      <c r="G89" s="28"/>
      <c r="H89" s="28"/>
      <c r="I89" s="29" t="str">
        <f t="shared" si="3"/>
        <v/>
      </c>
      <c r="J89" s="30" t="str">
        <f t="shared" si="4"/>
        <v/>
      </c>
      <c r="K89" s="26"/>
      <c r="L89" s="24" t="str">
        <f>IF(N89="","",IF(N89="T","Título de capítulo",IF(OR(ISERROR(F89),ISERROR(G89),ISERROR(H89)),"Error en fórmula: pegá como valores",IF(AND(B89="",$C$6=""),"Falta sector",IF(M89="","Falta capítulo",IF(TRIM(E89)="","Falta unidad",IF(NOT((COUNTIF(Listas!$A$2:$A$40,E89)+COUNTIF(Listas!$D$2:$D$60,E89)&gt;0)),"Unidad no reconocida",IF(AND(F89&lt;&gt;"",NOT(ISNUMBER(F89))),"Cantidad no es número",IF(N(F89)&lt;=0,"Falta cantidad",IF(OR(AND(G89&lt;&gt;"",NOT(ISNUMBER(G89))),AND(H89&lt;&gt;"",NOT(ISNUMBER(H89)))),"Precio no es número",IF(N(G89)+N(H89)&lt;=0,"Falta precio","✓ OK")))))))))))</f>
        <v/>
      </c>
      <c r="M89" t="str">
        <f>IF(N89&lt;&gt;"W","",IF(TRIM(C89)&lt;&gt;"",TRIM(C89),IFERROR(LOOKUP(2,1/(N$9:N89="T"),D$9:D89),"")))</f>
        <v/>
      </c>
      <c r="N89" t="str">
        <f t="shared" si="5"/>
        <v/>
      </c>
      <c r="O89" t="str">
        <f>IF(M89="","",IF(COUNTIF(M$9:M89,M89)=1,MAX(O$8:O88)+1,""))</f>
        <v/>
      </c>
    </row>
    <row r="90" spans="1:15" x14ac:dyDescent="0.75">
      <c r="A90" s="24" t="str">
        <f>IF(N90="W",COUNTIF(N$9:N90,"W"),"")</f>
        <v/>
      </c>
      <c r="B90" s="25"/>
      <c r="C90" s="25"/>
      <c r="D90" s="26"/>
      <c r="E90" s="25"/>
      <c r="F90" s="27"/>
      <c r="G90" s="28"/>
      <c r="H90" s="28"/>
      <c r="I90" s="29" t="str">
        <f t="shared" si="3"/>
        <v/>
      </c>
      <c r="J90" s="30" t="str">
        <f t="shared" si="4"/>
        <v/>
      </c>
      <c r="K90" s="26"/>
      <c r="L90" s="24" t="str">
        <f>IF(N90="","",IF(N90="T","Título de capítulo",IF(OR(ISERROR(F90),ISERROR(G90),ISERROR(H90)),"Error en fórmula: pegá como valores",IF(AND(B90="",$C$6=""),"Falta sector",IF(M90="","Falta capítulo",IF(TRIM(E90)="","Falta unidad",IF(NOT((COUNTIF(Listas!$A$2:$A$40,E90)+COUNTIF(Listas!$D$2:$D$60,E90)&gt;0)),"Unidad no reconocida",IF(AND(F90&lt;&gt;"",NOT(ISNUMBER(F90))),"Cantidad no es número",IF(N(F90)&lt;=0,"Falta cantidad",IF(OR(AND(G90&lt;&gt;"",NOT(ISNUMBER(G90))),AND(H90&lt;&gt;"",NOT(ISNUMBER(H90)))),"Precio no es número",IF(N(G90)+N(H90)&lt;=0,"Falta precio","✓ OK")))))))))))</f>
        <v/>
      </c>
      <c r="M90" t="str">
        <f>IF(N90&lt;&gt;"W","",IF(TRIM(C90)&lt;&gt;"",TRIM(C90),IFERROR(LOOKUP(2,1/(N$9:N90="T"),D$9:D90),"")))</f>
        <v/>
      </c>
      <c r="N90" t="str">
        <f t="shared" si="5"/>
        <v/>
      </c>
      <c r="O90" t="str">
        <f>IF(M90="","",IF(COUNTIF(M$9:M90,M90)=1,MAX(O$8:O89)+1,""))</f>
        <v/>
      </c>
    </row>
    <row r="91" spans="1:15" x14ac:dyDescent="0.75">
      <c r="A91" s="24" t="str">
        <f>IF(N91="W",COUNTIF(N$9:N91,"W"),"")</f>
        <v/>
      </c>
      <c r="B91" s="25"/>
      <c r="C91" s="25"/>
      <c r="D91" s="26"/>
      <c r="E91" s="25"/>
      <c r="F91" s="27"/>
      <c r="G91" s="28"/>
      <c r="H91" s="28"/>
      <c r="I91" s="29" t="str">
        <f t="shared" si="3"/>
        <v/>
      </c>
      <c r="J91" s="30" t="str">
        <f t="shared" si="4"/>
        <v/>
      </c>
      <c r="K91" s="26"/>
      <c r="L91" s="24" t="str">
        <f>IF(N91="","",IF(N91="T","Título de capítulo",IF(OR(ISERROR(F91),ISERROR(G91),ISERROR(H91)),"Error en fórmula: pegá como valores",IF(AND(B91="",$C$6=""),"Falta sector",IF(M91="","Falta capítulo",IF(TRIM(E91)="","Falta unidad",IF(NOT((COUNTIF(Listas!$A$2:$A$40,E91)+COUNTIF(Listas!$D$2:$D$60,E91)&gt;0)),"Unidad no reconocida",IF(AND(F91&lt;&gt;"",NOT(ISNUMBER(F91))),"Cantidad no es número",IF(N(F91)&lt;=0,"Falta cantidad",IF(OR(AND(G91&lt;&gt;"",NOT(ISNUMBER(G91))),AND(H91&lt;&gt;"",NOT(ISNUMBER(H91)))),"Precio no es número",IF(N(G91)+N(H91)&lt;=0,"Falta precio","✓ OK")))))))))))</f>
        <v/>
      </c>
      <c r="M91" t="str">
        <f>IF(N91&lt;&gt;"W","",IF(TRIM(C91)&lt;&gt;"",TRIM(C91),IFERROR(LOOKUP(2,1/(N$9:N91="T"),D$9:D91),"")))</f>
        <v/>
      </c>
      <c r="N91" t="str">
        <f t="shared" si="5"/>
        <v/>
      </c>
      <c r="O91" t="str">
        <f>IF(M91="","",IF(COUNTIF(M$9:M91,M91)=1,MAX(O$8:O90)+1,""))</f>
        <v/>
      </c>
    </row>
    <row r="92" spans="1:15" x14ac:dyDescent="0.75">
      <c r="A92" s="24" t="str">
        <f>IF(N92="W",COUNTIF(N$9:N92,"W"),"")</f>
        <v/>
      </c>
      <c r="B92" s="25"/>
      <c r="C92" s="25"/>
      <c r="D92" s="26"/>
      <c r="E92" s="25"/>
      <c r="F92" s="27"/>
      <c r="G92" s="28"/>
      <c r="H92" s="28"/>
      <c r="I92" s="29" t="str">
        <f t="shared" si="3"/>
        <v/>
      </c>
      <c r="J92" s="30" t="str">
        <f t="shared" si="4"/>
        <v/>
      </c>
      <c r="K92" s="26"/>
      <c r="L92" s="24" t="str">
        <f>IF(N92="","",IF(N92="T","Título de capítulo",IF(OR(ISERROR(F92),ISERROR(G92),ISERROR(H92)),"Error en fórmula: pegá como valores",IF(AND(B92="",$C$6=""),"Falta sector",IF(M92="","Falta capítulo",IF(TRIM(E92)="","Falta unidad",IF(NOT((COUNTIF(Listas!$A$2:$A$40,E92)+COUNTIF(Listas!$D$2:$D$60,E92)&gt;0)),"Unidad no reconocida",IF(AND(F92&lt;&gt;"",NOT(ISNUMBER(F92))),"Cantidad no es número",IF(N(F92)&lt;=0,"Falta cantidad",IF(OR(AND(G92&lt;&gt;"",NOT(ISNUMBER(G92))),AND(H92&lt;&gt;"",NOT(ISNUMBER(H92)))),"Precio no es número",IF(N(G92)+N(H92)&lt;=0,"Falta precio","✓ OK")))))))))))</f>
        <v/>
      </c>
      <c r="M92" t="str">
        <f>IF(N92&lt;&gt;"W","",IF(TRIM(C92)&lt;&gt;"",TRIM(C92),IFERROR(LOOKUP(2,1/(N$9:N92="T"),D$9:D92),"")))</f>
        <v/>
      </c>
      <c r="N92" t="str">
        <f t="shared" si="5"/>
        <v/>
      </c>
      <c r="O92" t="str">
        <f>IF(M92="","",IF(COUNTIF(M$9:M92,M92)=1,MAX(O$8:O91)+1,""))</f>
        <v/>
      </c>
    </row>
    <row r="93" spans="1:15" x14ac:dyDescent="0.75">
      <c r="A93" s="24" t="str">
        <f>IF(N93="W",COUNTIF(N$9:N93,"W"),"")</f>
        <v/>
      </c>
      <c r="B93" s="25"/>
      <c r="C93" s="25"/>
      <c r="D93" s="26"/>
      <c r="E93" s="25"/>
      <c r="F93" s="27"/>
      <c r="G93" s="28"/>
      <c r="H93" s="28"/>
      <c r="I93" s="29" t="str">
        <f t="shared" si="3"/>
        <v/>
      </c>
      <c r="J93" s="30" t="str">
        <f t="shared" si="4"/>
        <v/>
      </c>
      <c r="K93" s="26"/>
      <c r="L93" s="24" t="str">
        <f>IF(N93="","",IF(N93="T","Título de capítulo",IF(OR(ISERROR(F93),ISERROR(G93),ISERROR(H93)),"Error en fórmula: pegá como valores",IF(AND(B93="",$C$6=""),"Falta sector",IF(M93="","Falta capítulo",IF(TRIM(E93)="","Falta unidad",IF(NOT((COUNTIF(Listas!$A$2:$A$40,E93)+COUNTIF(Listas!$D$2:$D$60,E93)&gt;0)),"Unidad no reconocida",IF(AND(F93&lt;&gt;"",NOT(ISNUMBER(F93))),"Cantidad no es número",IF(N(F93)&lt;=0,"Falta cantidad",IF(OR(AND(G93&lt;&gt;"",NOT(ISNUMBER(G93))),AND(H93&lt;&gt;"",NOT(ISNUMBER(H93)))),"Precio no es número",IF(N(G93)+N(H93)&lt;=0,"Falta precio","✓ OK")))))))))))</f>
        <v/>
      </c>
      <c r="M93" t="str">
        <f>IF(N93&lt;&gt;"W","",IF(TRIM(C93)&lt;&gt;"",TRIM(C93),IFERROR(LOOKUP(2,1/(N$9:N93="T"),D$9:D93),"")))</f>
        <v/>
      </c>
      <c r="N93" t="str">
        <f t="shared" si="5"/>
        <v/>
      </c>
      <c r="O93" t="str">
        <f>IF(M93="","",IF(COUNTIF(M$9:M93,M93)=1,MAX(O$8:O92)+1,""))</f>
        <v/>
      </c>
    </row>
    <row r="94" spans="1:15" x14ac:dyDescent="0.75">
      <c r="A94" s="24" t="str">
        <f>IF(N94="W",COUNTIF(N$9:N94,"W"),"")</f>
        <v/>
      </c>
      <c r="B94" s="25"/>
      <c r="C94" s="25"/>
      <c r="D94" s="26"/>
      <c r="E94" s="25"/>
      <c r="F94" s="27"/>
      <c r="G94" s="28"/>
      <c r="H94" s="28"/>
      <c r="I94" s="29" t="str">
        <f t="shared" si="3"/>
        <v/>
      </c>
      <c r="J94" s="30" t="str">
        <f t="shared" si="4"/>
        <v/>
      </c>
      <c r="K94" s="26"/>
      <c r="L94" s="24" t="str">
        <f>IF(N94="","",IF(N94="T","Título de capítulo",IF(OR(ISERROR(F94),ISERROR(G94),ISERROR(H94)),"Error en fórmula: pegá como valores",IF(AND(B94="",$C$6=""),"Falta sector",IF(M94="","Falta capítulo",IF(TRIM(E94)="","Falta unidad",IF(NOT((COUNTIF(Listas!$A$2:$A$40,E94)+COUNTIF(Listas!$D$2:$D$60,E94)&gt;0)),"Unidad no reconocida",IF(AND(F94&lt;&gt;"",NOT(ISNUMBER(F94))),"Cantidad no es número",IF(N(F94)&lt;=0,"Falta cantidad",IF(OR(AND(G94&lt;&gt;"",NOT(ISNUMBER(G94))),AND(H94&lt;&gt;"",NOT(ISNUMBER(H94)))),"Precio no es número",IF(N(G94)+N(H94)&lt;=0,"Falta precio","✓ OK")))))))))))</f>
        <v/>
      </c>
      <c r="M94" t="str">
        <f>IF(N94&lt;&gt;"W","",IF(TRIM(C94)&lt;&gt;"",TRIM(C94),IFERROR(LOOKUP(2,1/(N$9:N94="T"),D$9:D94),"")))</f>
        <v/>
      </c>
      <c r="N94" t="str">
        <f t="shared" si="5"/>
        <v/>
      </c>
      <c r="O94" t="str">
        <f>IF(M94="","",IF(COUNTIF(M$9:M94,M94)=1,MAX(O$8:O93)+1,""))</f>
        <v/>
      </c>
    </row>
    <row r="95" spans="1:15" x14ac:dyDescent="0.75">
      <c r="A95" s="24" t="str">
        <f>IF(N95="W",COUNTIF(N$9:N95,"W"),"")</f>
        <v/>
      </c>
      <c r="B95" s="25"/>
      <c r="C95" s="25"/>
      <c r="D95" s="26"/>
      <c r="E95" s="25"/>
      <c r="F95" s="27"/>
      <c r="G95" s="28"/>
      <c r="H95" s="28"/>
      <c r="I95" s="29" t="str">
        <f t="shared" si="3"/>
        <v/>
      </c>
      <c r="J95" s="30" t="str">
        <f t="shared" si="4"/>
        <v/>
      </c>
      <c r="K95" s="26"/>
      <c r="L95" s="24" t="str">
        <f>IF(N95="","",IF(N95="T","Título de capítulo",IF(OR(ISERROR(F95),ISERROR(G95),ISERROR(H95)),"Error en fórmula: pegá como valores",IF(AND(B95="",$C$6=""),"Falta sector",IF(M95="","Falta capítulo",IF(TRIM(E95)="","Falta unidad",IF(NOT((COUNTIF(Listas!$A$2:$A$40,E95)+COUNTIF(Listas!$D$2:$D$60,E95)&gt;0)),"Unidad no reconocida",IF(AND(F95&lt;&gt;"",NOT(ISNUMBER(F95))),"Cantidad no es número",IF(N(F95)&lt;=0,"Falta cantidad",IF(OR(AND(G95&lt;&gt;"",NOT(ISNUMBER(G95))),AND(H95&lt;&gt;"",NOT(ISNUMBER(H95)))),"Precio no es número",IF(N(G95)+N(H95)&lt;=0,"Falta precio","✓ OK")))))))))))</f>
        <v/>
      </c>
      <c r="M95" t="str">
        <f>IF(N95&lt;&gt;"W","",IF(TRIM(C95)&lt;&gt;"",TRIM(C95),IFERROR(LOOKUP(2,1/(N$9:N95="T"),D$9:D95),"")))</f>
        <v/>
      </c>
      <c r="N95" t="str">
        <f t="shared" si="5"/>
        <v/>
      </c>
      <c r="O95" t="str">
        <f>IF(M95="","",IF(COUNTIF(M$9:M95,M95)=1,MAX(O$8:O94)+1,""))</f>
        <v/>
      </c>
    </row>
    <row r="96" spans="1:15" x14ac:dyDescent="0.75">
      <c r="A96" s="24" t="str">
        <f>IF(N96="W",COUNTIF(N$9:N96,"W"),"")</f>
        <v/>
      </c>
      <c r="B96" s="25"/>
      <c r="C96" s="25"/>
      <c r="D96" s="26"/>
      <c r="E96" s="25"/>
      <c r="F96" s="27"/>
      <c r="G96" s="28"/>
      <c r="H96" s="28"/>
      <c r="I96" s="29" t="str">
        <f t="shared" si="3"/>
        <v/>
      </c>
      <c r="J96" s="30" t="str">
        <f t="shared" si="4"/>
        <v/>
      </c>
      <c r="K96" s="26"/>
      <c r="L96" s="24" t="str">
        <f>IF(N96="","",IF(N96="T","Título de capítulo",IF(OR(ISERROR(F96),ISERROR(G96),ISERROR(H96)),"Error en fórmula: pegá como valores",IF(AND(B96="",$C$6=""),"Falta sector",IF(M96="","Falta capítulo",IF(TRIM(E96)="","Falta unidad",IF(NOT((COUNTIF(Listas!$A$2:$A$40,E96)+COUNTIF(Listas!$D$2:$D$60,E96)&gt;0)),"Unidad no reconocida",IF(AND(F96&lt;&gt;"",NOT(ISNUMBER(F96))),"Cantidad no es número",IF(N(F96)&lt;=0,"Falta cantidad",IF(OR(AND(G96&lt;&gt;"",NOT(ISNUMBER(G96))),AND(H96&lt;&gt;"",NOT(ISNUMBER(H96)))),"Precio no es número",IF(N(G96)+N(H96)&lt;=0,"Falta precio","✓ OK")))))))))))</f>
        <v/>
      </c>
      <c r="M96" t="str">
        <f>IF(N96&lt;&gt;"W","",IF(TRIM(C96)&lt;&gt;"",TRIM(C96),IFERROR(LOOKUP(2,1/(N$9:N96="T"),D$9:D96),"")))</f>
        <v/>
      </c>
      <c r="N96" t="str">
        <f t="shared" si="5"/>
        <v/>
      </c>
      <c r="O96" t="str">
        <f>IF(M96="","",IF(COUNTIF(M$9:M96,M96)=1,MAX(O$8:O95)+1,""))</f>
        <v/>
      </c>
    </row>
    <row r="97" spans="1:15" x14ac:dyDescent="0.75">
      <c r="A97" s="24" t="str">
        <f>IF(N97="W",COUNTIF(N$9:N97,"W"),"")</f>
        <v/>
      </c>
      <c r="B97" s="25"/>
      <c r="C97" s="25"/>
      <c r="D97" s="26"/>
      <c r="E97" s="25"/>
      <c r="F97" s="27"/>
      <c r="G97" s="28"/>
      <c r="H97" s="28"/>
      <c r="I97" s="29" t="str">
        <f t="shared" si="3"/>
        <v/>
      </c>
      <c r="J97" s="30" t="str">
        <f t="shared" si="4"/>
        <v/>
      </c>
      <c r="K97" s="26"/>
      <c r="L97" s="24" t="str">
        <f>IF(N97="","",IF(N97="T","Título de capítulo",IF(OR(ISERROR(F97),ISERROR(G97),ISERROR(H97)),"Error en fórmula: pegá como valores",IF(AND(B97="",$C$6=""),"Falta sector",IF(M97="","Falta capítulo",IF(TRIM(E97)="","Falta unidad",IF(NOT((COUNTIF(Listas!$A$2:$A$40,E97)+COUNTIF(Listas!$D$2:$D$60,E97)&gt;0)),"Unidad no reconocida",IF(AND(F97&lt;&gt;"",NOT(ISNUMBER(F97))),"Cantidad no es número",IF(N(F97)&lt;=0,"Falta cantidad",IF(OR(AND(G97&lt;&gt;"",NOT(ISNUMBER(G97))),AND(H97&lt;&gt;"",NOT(ISNUMBER(H97)))),"Precio no es número",IF(N(G97)+N(H97)&lt;=0,"Falta precio","✓ OK")))))))))))</f>
        <v/>
      </c>
      <c r="M97" t="str">
        <f>IF(N97&lt;&gt;"W","",IF(TRIM(C97)&lt;&gt;"",TRIM(C97),IFERROR(LOOKUP(2,1/(N$9:N97="T"),D$9:D97),"")))</f>
        <v/>
      </c>
      <c r="N97" t="str">
        <f t="shared" si="5"/>
        <v/>
      </c>
      <c r="O97" t="str">
        <f>IF(M97="","",IF(COUNTIF(M$9:M97,M97)=1,MAX(O$8:O96)+1,""))</f>
        <v/>
      </c>
    </row>
    <row r="98" spans="1:15" x14ac:dyDescent="0.75">
      <c r="A98" s="24" t="str">
        <f>IF(N98="W",COUNTIF(N$9:N98,"W"),"")</f>
        <v/>
      </c>
      <c r="B98" s="25"/>
      <c r="C98" s="25"/>
      <c r="D98" s="26"/>
      <c r="E98" s="25"/>
      <c r="F98" s="27"/>
      <c r="G98" s="28"/>
      <c r="H98" s="28"/>
      <c r="I98" s="29" t="str">
        <f t="shared" si="3"/>
        <v/>
      </c>
      <c r="J98" s="30" t="str">
        <f t="shared" si="4"/>
        <v/>
      </c>
      <c r="K98" s="26"/>
      <c r="L98" s="24" t="str">
        <f>IF(N98="","",IF(N98="T","Título de capítulo",IF(OR(ISERROR(F98),ISERROR(G98),ISERROR(H98)),"Error en fórmula: pegá como valores",IF(AND(B98="",$C$6=""),"Falta sector",IF(M98="","Falta capítulo",IF(TRIM(E98)="","Falta unidad",IF(NOT((COUNTIF(Listas!$A$2:$A$40,E98)+COUNTIF(Listas!$D$2:$D$60,E98)&gt;0)),"Unidad no reconocida",IF(AND(F98&lt;&gt;"",NOT(ISNUMBER(F98))),"Cantidad no es número",IF(N(F98)&lt;=0,"Falta cantidad",IF(OR(AND(G98&lt;&gt;"",NOT(ISNUMBER(G98))),AND(H98&lt;&gt;"",NOT(ISNUMBER(H98)))),"Precio no es número",IF(N(G98)+N(H98)&lt;=0,"Falta precio","✓ OK")))))))))))</f>
        <v/>
      </c>
      <c r="M98" t="str">
        <f>IF(N98&lt;&gt;"W","",IF(TRIM(C98)&lt;&gt;"",TRIM(C98),IFERROR(LOOKUP(2,1/(N$9:N98="T"),D$9:D98),"")))</f>
        <v/>
      </c>
      <c r="N98" t="str">
        <f t="shared" si="5"/>
        <v/>
      </c>
      <c r="O98" t="str">
        <f>IF(M98="","",IF(COUNTIF(M$9:M98,M98)=1,MAX(O$8:O97)+1,""))</f>
        <v/>
      </c>
    </row>
    <row r="99" spans="1:15" x14ac:dyDescent="0.75">
      <c r="A99" s="24" t="str">
        <f>IF(N99="W",COUNTIF(N$9:N99,"W"),"")</f>
        <v/>
      </c>
      <c r="B99" s="25"/>
      <c r="C99" s="25"/>
      <c r="D99" s="26"/>
      <c r="E99" s="25"/>
      <c r="F99" s="27"/>
      <c r="G99" s="28"/>
      <c r="H99" s="28"/>
      <c r="I99" s="29" t="str">
        <f t="shared" si="3"/>
        <v/>
      </c>
      <c r="J99" s="30" t="str">
        <f t="shared" si="4"/>
        <v/>
      </c>
      <c r="K99" s="26"/>
      <c r="L99" s="24" t="str">
        <f>IF(N99="","",IF(N99="T","Título de capítulo",IF(OR(ISERROR(F99),ISERROR(G99),ISERROR(H99)),"Error en fórmula: pegá como valores",IF(AND(B99="",$C$6=""),"Falta sector",IF(M99="","Falta capítulo",IF(TRIM(E99)="","Falta unidad",IF(NOT((COUNTIF(Listas!$A$2:$A$40,E99)+COUNTIF(Listas!$D$2:$D$60,E99)&gt;0)),"Unidad no reconocida",IF(AND(F99&lt;&gt;"",NOT(ISNUMBER(F99))),"Cantidad no es número",IF(N(F99)&lt;=0,"Falta cantidad",IF(OR(AND(G99&lt;&gt;"",NOT(ISNUMBER(G99))),AND(H99&lt;&gt;"",NOT(ISNUMBER(H99)))),"Precio no es número",IF(N(G99)+N(H99)&lt;=0,"Falta precio","✓ OK")))))))))))</f>
        <v/>
      </c>
      <c r="M99" t="str">
        <f>IF(N99&lt;&gt;"W","",IF(TRIM(C99)&lt;&gt;"",TRIM(C99),IFERROR(LOOKUP(2,1/(N$9:N99="T"),D$9:D99),"")))</f>
        <v/>
      </c>
      <c r="N99" t="str">
        <f t="shared" si="5"/>
        <v/>
      </c>
      <c r="O99" t="str">
        <f>IF(M99="","",IF(COUNTIF(M$9:M99,M99)=1,MAX(O$8:O98)+1,""))</f>
        <v/>
      </c>
    </row>
    <row r="100" spans="1:15" x14ac:dyDescent="0.75">
      <c r="A100" s="24" t="str">
        <f>IF(N100="W",COUNTIF(N$9:N100,"W"),"")</f>
        <v/>
      </c>
      <c r="B100" s="25"/>
      <c r="C100" s="25"/>
      <c r="D100" s="26"/>
      <c r="E100" s="25"/>
      <c r="F100" s="27"/>
      <c r="G100" s="28"/>
      <c r="H100" s="28"/>
      <c r="I100" s="29" t="str">
        <f t="shared" si="3"/>
        <v/>
      </c>
      <c r="J100" s="30" t="str">
        <f t="shared" si="4"/>
        <v/>
      </c>
      <c r="K100" s="26"/>
      <c r="L100" s="24" t="str">
        <f>IF(N100="","",IF(N100="T","Título de capítulo",IF(OR(ISERROR(F100),ISERROR(G100),ISERROR(H100)),"Error en fórmula: pegá como valores",IF(AND(B100="",$C$6=""),"Falta sector",IF(M100="","Falta capítulo",IF(TRIM(E100)="","Falta unidad",IF(NOT((COUNTIF(Listas!$A$2:$A$40,E100)+COUNTIF(Listas!$D$2:$D$60,E100)&gt;0)),"Unidad no reconocida",IF(AND(F100&lt;&gt;"",NOT(ISNUMBER(F100))),"Cantidad no es número",IF(N(F100)&lt;=0,"Falta cantidad",IF(OR(AND(G100&lt;&gt;"",NOT(ISNUMBER(G100))),AND(H100&lt;&gt;"",NOT(ISNUMBER(H100)))),"Precio no es número",IF(N(G100)+N(H100)&lt;=0,"Falta precio","✓ OK")))))))))))</f>
        <v/>
      </c>
      <c r="M100" t="str">
        <f>IF(N100&lt;&gt;"W","",IF(TRIM(C100)&lt;&gt;"",TRIM(C100),IFERROR(LOOKUP(2,1/(N$9:N100="T"),D$9:D100),"")))</f>
        <v/>
      </c>
      <c r="N100" t="str">
        <f t="shared" si="5"/>
        <v/>
      </c>
      <c r="O100" t="str">
        <f>IF(M100="","",IF(COUNTIF(M$9:M100,M100)=1,MAX(O$8:O99)+1,""))</f>
        <v/>
      </c>
    </row>
    <row r="101" spans="1:15" x14ac:dyDescent="0.75">
      <c r="A101" s="24" t="str">
        <f>IF(N101="W",COUNTIF(N$9:N101,"W"),"")</f>
        <v/>
      </c>
      <c r="B101" s="25"/>
      <c r="C101" s="25"/>
      <c r="D101" s="26"/>
      <c r="E101" s="25"/>
      <c r="F101" s="27"/>
      <c r="G101" s="28"/>
      <c r="H101" s="28"/>
      <c r="I101" s="29" t="str">
        <f t="shared" si="3"/>
        <v/>
      </c>
      <c r="J101" s="30" t="str">
        <f t="shared" si="4"/>
        <v/>
      </c>
      <c r="K101" s="26"/>
      <c r="L101" s="24" t="str">
        <f>IF(N101="","",IF(N101="T","Título de capítulo",IF(OR(ISERROR(F101),ISERROR(G101),ISERROR(H101)),"Error en fórmula: pegá como valores",IF(AND(B101="",$C$6=""),"Falta sector",IF(M101="","Falta capítulo",IF(TRIM(E101)="","Falta unidad",IF(NOT((COUNTIF(Listas!$A$2:$A$40,E101)+COUNTIF(Listas!$D$2:$D$60,E101)&gt;0)),"Unidad no reconocida",IF(AND(F101&lt;&gt;"",NOT(ISNUMBER(F101))),"Cantidad no es número",IF(N(F101)&lt;=0,"Falta cantidad",IF(OR(AND(G101&lt;&gt;"",NOT(ISNUMBER(G101))),AND(H101&lt;&gt;"",NOT(ISNUMBER(H101)))),"Precio no es número",IF(N(G101)+N(H101)&lt;=0,"Falta precio","✓ OK")))))))))))</f>
        <v/>
      </c>
      <c r="M101" t="str">
        <f>IF(N101&lt;&gt;"W","",IF(TRIM(C101)&lt;&gt;"",TRIM(C101),IFERROR(LOOKUP(2,1/(N$9:N101="T"),D$9:D101),"")))</f>
        <v/>
      </c>
      <c r="N101" t="str">
        <f t="shared" si="5"/>
        <v/>
      </c>
      <c r="O101" t="str">
        <f>IF(M101="","",IF(COUNTIF(M$9:M101,M101)=1,MAX(O$8:O100)+1,""))</f>
        <v/>
      </c>
    </row>
    <row r="102" spans="1:15" x14ac:dyDescent="0.75">
      <c r="A102" s="24" t="str">
        <f>IF(N102="W",COUNTIF(N$9:N102,"W"),"")</f>
        <v/>
      </c>
      <c r="B102" s="25"/>
      <c r="C102" s="25"/>
      <c r="D102" s="26"/>
      <c r="E102" s="25"/>
      <c r="F102" s="27"/>
      <c r="G102" s="28"/>
      <c r="H102" s="28"/>
      <c r="I102" s="29" t="str">
        <f t="shared" si="3"/>
        <v/>
      </c>
      <c r="J102" s="30" t="str">
        <f t="shared" si="4"/>
        <v/>
      </c>
      <c r="K102" s="26"/>
      <c r="L102" s="24" t="str">
        <f>IF(N102="","",IF(N102="T","Título de capítulo",IF(OR(ISERROR(F102),ISERROR(G102),ISERROR(H102)),"Error en fórmula: pegá como valores",IF(AND(B102="",$C$6=""),"Falta sector",IF(M102="","Falta capítulo",IF(TRIM(E102)="","Falta unidad",IF(NOT((COUNTIF(Listas!$A$2:$A$40,E102)+COUNTIF(Listas!$D$2:$D$60,E102)&gt;0)),"Unidad no reconocida",IF(AND(F102&lt;&gt;"",NOT(ISNUMBER(F102))),"Cantidad no es número",IF(N(F102)&lt;=0,"Falta cantidad",IF(OR(AND(G102&lt;&gt;"",NOT(ISNUMBER(G102))),AND(H102&lt;&gt;"",NOT(ISNUMBER(H102)))),"Precio no es número",IF(N(G102)+N(H102)&lt;=0,"Falta precio","✓ OK")))))))))))</f>
        <v/>
      </c>
      <c r="M102" t="str">
        <f>IF(N102&lt;&gt;"W","",IF(TRIM(C102)&lt;&gt;"",TRIM(C102),IFERROR(LOOKUP(2,1/(N$9:N102="T"),D$9:D102),"")))</f>
        <v/>
      </c>
      <c r="N102" t="str">
        <f t="shared" si="5"/>
        <v/>
      </c>
      <c r="O102" t="str">
        <f>IF(M102="","",IF(COUNTIF(M$9:M102,M102)=1,MAX(O$8:O101)+1,""))</f>
        <v/>
      </c>
    </row>
    <row r="103" spans="1:15" x14ac:dyDescent="0.75">
      <c r="A103" s="24" t="str">
        <f>IF(N103="W",COUNTIF(N$9:N103,"W"),"")</f>
        <v/>
      </c>
      <c r="B103" s="25"/>
      <c r="C103" s="25"/>
      <c r="D103" s="26"/>
      <c r="E103" s="25"/>
      <c r="F103" s="27"/>
      <c r="G103" s="28"/>
      <c r="H103" s="28"/>
      <c r="I103" s="29" t="str">
        <f t="shared" si="3"/>
        <v/>
      </c>
      <c r="J103" s="30" t="str">
        <f t="shared" si="4"/>
        <v/>
      </c>
      <c r="K103" s="26"/>
      <c r="L103" s="24" t="str">
        <f>IF(N103="","",IF(N103="T","Título de capítulo",IF(OR(ISERROR(F103),ISERROR(G103),ISERROR(H103)),"Error en fórmula: pegá como valores",IF(AND(B103="",$C$6=""),"Falta sector",IF(M103="","Falta capítulo",IF(TRIM(E103)="","Falta unidad",IF(NOT((COUNTIF(Listas!$A$2:$A$40,E103)+COUNTIF(Listas!$D$2:$D$60,E103)&gt;0)),"Unidad no reconocida",IF(AND(F103&lt;&gt;"",NOT(ISNUMBER(F103))),"Cantidad no es número",IF(N(F103)&lt;=0,"Falta cantidad",IF(OR(AND(G103&lt;&gt;"",NOT(ISNUMBER(G103))),AND(H103&lt;&gt;"",NOT(ISNUMBER(H103)))),"Precio no es número",IF(N(G103)+N(H103)&lt;=0,"Falta precio","✓ OK")))))))))))</f>
        <v/>
      </c>
      <c r="M103" t="str">
        <f>IF(N103&lt;&gt;"W","",IF(TRIM(C103)&lt;&gt;"",TRIM(C103),IFERROR(LOOKUP(2,1/(N$9:N103="T"),D$9:D103),"")))</f>
        <v/>
      </c>
      <c r="N103" t="str">
        <f t="shared" si="5"/>
        <v/>
      </c>
      <c r="O103" t="str">
        <f>IF(M103="","",IF(COUNTIF(M$9:M103,M103)=1,MAX(O$8:O102)+1,""))</f>
        <v/>
      </c>
    </row>
    <row r="104" spans="1:15" x14ac:dyDescent="0.75">
      <c r="A104" s="24" t="str">
        <f>IF(N104="W",COUNTIF(N$9:N104,"W"),"")</f>
        <v/>
      </c>
      <c r="B104" s="25"/>
      <c r="C104" s="25"/>
      <c r="D104" s="26"/>
      <c r="E104" s="25"/>
      <c r="F104" s="27"/>
      <c r="G104" s="28"/>
      <c r="H104" s="28"/>
      <c r="I104" s="29" t="str">
        <f t="shared" si="3"/>
        <v/>
      </c>
      <c r="J104" s="30" t="str">
        <f t="shared" si="4"/>
        <v/>
      </c>
      <c r="K104" s="26"/>
      <c r="L104" s="24" t="str">
        <f>IF(N104="","",IF(N104="T","Título de capítulo",IF(OR(ISERROR(F104),ISERROR(G104),ISERROR(H104)),"Error en fórmula: pegá como valores",IF(AND(B104="",$C$6=""),"Falta sector",IF(M104="","Falta capítulo",IF(TRIM(E104)="","Falta unidad",IF(NOT((COUNTIF(Listas!$A$2:$A$40,E104)+COUNTIF(Listas!$D$2:$D$60,E104)&gt;0)),"Unidad no reconocida",IF(AND(F104&lt;&gt;"",NOT(ISNUMBER(F104))),"Cantidad no es número",IF(N(F104)&lt;=0,"Falta cantidad",IF(OR(AND(G104&lt;&gt;"",NOT(ISNUMBER(G104))),AND(H104&lt;&gt;"",NOT(ISNUMBER(H104)))),"Precio no es número",IF(N(G104)+N(H104)&lt;=0,"Falta precio","✓ OK")))))))))))</f>
        <v/>
      </c>
      <c r="M104" t="str">
        <f>IF(N104&lt;&gt;"W","",IF(TRIM(C104)&lt;&gt;"",TRIM(C104),IFERROR(LOOKUP(2,1/(N$9:N104="T"),D$9:D104),"")))</f>
        <v/>
      </c>
      <c r="N104" t="str">
        <f t="shared" si="5"/>
        <v/>
      </c>
      <c r="O104" t="str">
        <f>IF(M104="","",IF(COUNTIF(M$9:M104,M104)=1,MAX(O$8:O103)+1,""))</f>
        <v/>
      </c>
    </row>
    <row r="105" spans="1:15" x14ac:dyDescent="0.75">
      <c r="A105" s="24" t="str">
        <f>IF(N105="W",COUNTIF(N$9:N105,"W"),"")</f>
        <v/>
      </c>
      <c r="B105" s="25"/>
      <c r="C105" s="25"/>
      <c r="D105" s="26"/>
      <c r="E105" s="25"/>
      <c r="F105" s="27"/>
      <c r="G105" s="28"/>
      <c r="H105" s="28"/>
      <c r="I105" s="29" t="str">
        <f t="shared" si="3"/>
        <v/>
      </c>
      <c r="J105" s="30" t="str">
        <f t="shared" si="4"/>
        <v/>
      </c>
      <c r="K105" s="26"/>
      <c r="L105" s="24" t="str">
        <f>IF(N105="","",IF(N105="T","Título de capítulo",IF(OR(ISERROR(F105),ISERROR(G105),ISERROR(H105)),"Error en fórmula: pegá como valores",IF(AND(B105="",$C$6=""),"Falta sector",IF(M105="","Falta capítulo",IF(TRIM(E105)="","Falta unidad",IF(NOT((COUNTIF(Listas!$A$2:$A$40,E105)+COUNTIF(Listas!$D$2:$D$60,E105)&gt;0)),"Unidad no reconocida",IF(AND(F105&lt;&gt;"",NOT(ISNUMBER(F105))),"Cantidad no es número",IF(N(F105)&lt;=0,"Falta cantidad",IF(OR(AND(G105&lt;&gt;"",NOT(ISNUMBER(G105))),AND(H105&lt;&gt;"",NOT(ISNUMBER(H105)))),"Precio no es número",IF(N(G105)+N(H105)&lt;=0,"Falta precio","✓ OK")))))))))))</f>
        <v/>
      </c>
      <c r="M105" t="str">
        <f>IF(N105&lt;&gt;"W","",IF(TRIM(C105)&lt;&gt;"",TRIM(C105),IFERROR(LOOKUP(2,1/(N$9:N105="T"),D$9:D105),"")))</f>
        <v/>
      </c>
      <c r="N105" t="str">
        <f t="shared" si="5"/>
        <v/>
      </c>
      <c r="O105" t="str">
        <f>IF(M105="","",IF(COUNTIF(M$9:M105,M105)=1,MAX(O$8:O104)+1,""))</f>
        <v/>
      </c>
    </row>
    <row r="106" spans="1:15" x14ac:dyDescent="0.75">
      <c r="A106" s="24" t="str">
        <f>IF(N106="W",COUNTIF(N$9:N106,"W"),"")</f>
        <v/>
      </c>
      <c r="B106" s="25"/>
      <c r="C106" s="25"/>
      <c r="D106" s="26"/>
      <c r="E106" s="25"/>
      <c r="F106" s="27"/>
      <c r="G106" s="28"/>
      <c r="H106" s="28"/>
      <c r="I106" s="29" t="str">
        <f t="shared" si="3"/>
        <v/>
      </c>
      <c r="J106" s="30" t="str">
        <f t="shared" si="4"/>
        <v/>
      </c>
      <c r="K106" s="26"/>
      <c r="L106" s="24" t="str">
        <f>IF(N106="","",IF(N106="T","Título de capítulo",IF(OR(ISERROR(F106),ISERROR(G106),ISERROR(H106)),"Error en fórmula: pegá como valores",IF(AND(B106="",$C$6=""),"Falta sector",IF(M106="","Falta capítulo",IF(TRIM(E106)="","Falta unidad",IF(NOT((COUNTIF(Listas!$A$2:$A$40,E106)+COUNTIF(Listas!$D$2:$D$60,E106)&gt;0)),"Unidad no reconocida",IF(AND(F106&lt;&gt;"",NOT(ISNUMBER(F106))),"Cantidad no es número",IF(N(F106)&lt;=0,"Falta cantidad",IF(OR(AND(G106&lt;&gt;"",NOT(ISNUMBER(G106))),AND(H106&lt;&gt;"",NOT(ISNUMBER(H106)))),"Precio no es número",IF(N(G106)+N(H106)&lt;=0,"Falta precio","✓ OK")))))))))))</f>
        <v/>
      </c>
      <c r="M106" t="str">
        <f>IF(N106&lt;&gt;"W","",IF(TRIM(C106)&lt;&gt;"",TRIM(C106),IFERROR(LOOKUP(2,1/(N$9:N106="T"),D$9:D106),"")))</f>
        <v/>
      </c>
      <c r="N106" t="str">
        <f t="shared" si="5"/>
        <v/>
      </c>
      <c r="O106" t="str">
        <f>IF(M106="","",IF(COUNTIF(M$9:M106,M106)=1,MAX(O$8:O105)+1,""))</f>
        <v/>
      </c>
    </row>
    <row r="107" spans="1:15" x14ac:dyDescent="0.75">
      <c r="A107" s="24" t="str">
        <f>IF(N107="W",COUNTIF(N$9:N107,"W"),"")</f>
        <v/>
      </c>
      <c r="B107" s="25"/>
      <c r="C107" s="25"/>
      <c r="D107" s="26"/>
      <c r="E107" s="25"/>
      <c r="F107" s="27"/>
      <c r="G107" s="28"/>
      <c r="H107" s="28"/>
      <c r="I107" s="29" t="str">
        <f t="shared" si="3"/>
        <v/>
      </c>
      <c r="J107" s="30" t="str">
        <f t="shared" si="4"/>
        <v/>
      </c>
      <c r="K107" s="26"/>
      <c r="L107" s="24" t="str">
        <f>IF(N107="","",IF(N107="T","Título de capítulo",IF(OR(ISERROR(F107),ISERROR(G107),ISERROR(H107)),"Error en fórmula: pegá como valores",IF(AND(B107="",$C$6=""),"Falta sector",IF(M107="","Falta capítulo",IF(TRIM(E107)="","Falta unidad",IF(NOT((COUNTIF(Listas!$A$2:$A$40,E107)+COUNTIF(Listas!$D$2:$D$60,E107)&gt;0)),"Unidad no reconocida",IF(AND(F107&lt;&gt;"",NOT(ISNUMBER(F107))),"Cantidad no es número",IF(N(F107)&lt;=0,"Falta cantidad",IF(OR(AND(G107&lt;&gt;"",NOT(ISNUMBER(G107))),AND(H107&lt;&gt;"",NOT(ISNUMBER(H107)))),"Precio no es número",IF(N(G107)+N(H107)&lt;=0,"Falta precio","✓ OK")))))))))))</f>
        <v/>
      </c>
      <c r="M107" t="str">
        <f>IF(N107&lt;&gt;"W","",IF(TRIM(C107)&lt;&gt;"",TRIM(C107),IFERROR(LOOKUP(2,1/(N$9:N107="T"),D$9:D107),"")))</f>
        <v/>
      </c>
      <c r="N107" t="str">
        <f t="shared" si="5"/>
        <v/>
      </c>
      <c r="O107" t="str">
        <f>IF(M107="","",IF(COUNTIF(M$9:M107,M107)=1,MAX(O$8:O106)+1,""))</f>
        <v/>
      </c>
    </row>
    <row r="108" spans="1:15" x14ac:dyDescent="0.75">
      <c r="A108" s="24" t="str">
        <f>IF(N108="W",COUNTIF(N$9:N108,"W"),"")</f>
        <v/>
      </c>
      <c r="B108" s="25"/>
      <c r="C108" s="25"/>
      <c r="D108" s="26"/>
      <c r="E108" s="25"/>
      <c r="F108" s="27"/>
      <c r="G108" s="28"/>
      <c r="H108" s="28"/>
      <c r="I108" s="29" t="str">
        <f t="shared" si="3"/>
        <v/>
      </c>
      <c r="J108" s="30" t="str">
        <f t="shared" si="4"/>
        <v/>
      </c>
      <c r="K108" s="26"/>
      <c r="L108" s="24" t="str">
        <f>IF(N108="","",IF(N108="T","Título de capítulo",IF(OR(ISERROR(F108),ISERROR(G108),ISERROR(H108)),"Error en fórmula: pegá como valores",IF(AND(B108="",$C$6=""),"Falta sector",IF(M108="","Falta capítulo",IF(TRIM(E108)="","Falta unidad",IF(NOT((COUNTIF(Listas!$A$2:$A$40,E108)+COUNTIF(Listas!$D$2:$D$60,E108)&gt;0)),"Unidad no reconocida",IF(AND(F108&lt;&gt;"",NOT(ISNUMBER(F108))),"Cantidad no es número",IF(N(F108)&lt;=0,"Falta cantidad",IF(OR(AND(G108&lt;&gt;"",NOT(ISNUMBER(G108))),AND(H108&lt;&gt;"",NOT(ISNUMBER(H108)))),"Precio no es número",IF(N(G108)+N(H108)&lt;=0,"Falta precio","✓ OK")))))))))))</f>
        <v/>
      </c>
      <c r="M108" t="str">
        <f>IF(N108&lt;&gt;"W","",IF(TRIM(C108)&lt;&gt;"",TRIM(C108),IFERROR(LOOKUP(2,1/(N$9:N108="T"),D$9:D108),"")))</f>
        <v/>
      </c>
      <c r="N108" t="str">
        <f t="shared" si="5"/>
        <v/>
      </c>
      <c r="O108" t="str">
        <f>IF(M108="","",IF(COUNTIF(M$9:M108,M108)=1,MAX(O$8:O107)+1,""))</f>
        <v/>
      </c>
    </row>
    <row r="109" spans="1:15" x14ac:dyDescent="0.75">
      <c r="A109" s="24" t="str">
        <f>IF(N109="W",COUNTIF(N$9:N109,"W"),"")</f>
        <v/>
      </c>
      <c r="B109" s="25"/>
      <c r="C109" s="25"/>
      <c r="D109" s="26"/>
      <c r="E109" s="25"/>
      <c r="F109" s="27"/>
      <c r="G109" s="28"/>
      <c r="H109" s="28"/>
      <c r="I109" s="29" t="str">
        <f t="shared" si="3"/>
        <v/>
      </c>
      <c r="J109" s="30" t="str">
        <f t="shared" si="4"/>
        <v/>
      </c>
      <c r="K109" s="26"/>
      <c r="L109" s="24" t="str">
        <f>IF(N109="","",IF(N109="T","Título de capítulo",IF(OR(ISERROR(F109),ISERROR(G109),ISERROR(H109)),"Error en fórmula: pegá como valores",IF(AND(B109="",$C$6=""),"Falta sector",IF(M109="","Falta capítulo",IF(TRIM(E109)="","Falta unidad",IF(NOT((COUNTIF(Listas!$A$2:$A$40,E109)+COUNTIF(Listas!$D$2:$D$60,E109)&gt;0)),"Unidad no reconocida",IF(AND(F109&lt;&gt;"",NOT(ISNUMBER(F109))),"Cantidad no es número",IF(N(F109)&lt;=0,"Falta cantidad",IF(OR(AND(G109&lt;&gt;"",NOT(ISNUMBER(G109))),AND(H109&lt;&gt;"",NOT(ISNUMBER(H109)))),"Precio no es número",IF(N(G109)+N(H109)&lt;=0,"Falta precio","✓ OK")))))))))))</f>
        <v/>
      </c>
      <c r="M109" t="str">
        <f>IF(N109&lt;&gt;"W","",IF(TRIM(C109)&lt;&gt;"",TRIM(C109),IFERROR(LOOKUP(2,1/(N$9:N109="T"),D$9:D109),"")))</f>
        <v/>
      </c>
      <c r="N109" t="str">
        <f t="shared" si="5"/>
        <v/>
      </c>
      <c r="O109" t="str">
        <f>IF(M109="","",IF(COUNTIF(M$9:M109,M109)=1,MAX(O$8:O108)+1,""))</f>
        <v/>
      </c>
    </row>
    <row r="110" spans="1:15" x14ac:dyDescent="0.75">
      <c r="A110" s="24" t="str">
        <f>IF(N110="W",COUNTIF(N$9:N110,"W"),"")</f>
        <v/>
      </c>
      <c r="B110" s="25"/>
      <c r="C110" s="25"/>
      <c r="D110" s="26"/>
      <c r="E110" s="25"/>
      <c r="F110" s="27"/>
      <c r="G110" s="28"/>
      <c r="H110" s="28"/>
      <c r="I110" s="29" t="str">
        <f t="shared" si="3"/>
        <v/>
      </c>
      <c r="J110" s="30" t="str">
        <f t="shared" si="4"/>
        <v/>
      </c>
      <c r="K110" s="26"/>
      <c r="L110" s="24" t="str">
        <f>IF(N110="","",IF(N110="T","Título de capítulo",IF(OR(ISERROR(F110),ISERROR(G110),ISERROR(H110)),"Error en fórmula: pegá como valores",IF(AND(B110="",$C$6=""),"Falta sector",IF(M110="","Falta capítulo",IF(TRIM(E110)="","Falta unidad",IF(NOT((COUNTIF(Listas!$A$2:$A$40,E110)+COUNTIF(Listas!$D$2:$D$60,E110)&gt;0)),"Unidad no reconocida",IF(AND(F110&lt;&gt;"",NOT(ISNUMBER(F110))),"Cantidad no es número",IF(N(F110)&lt;=0,"Falta cantidad",IF(OR(AND(G110&lt;&gt;"",NOT(ISNUMBER(G110))),AND(H110&lt;&gt;"",NOT(ISNUMBER(H110)))),"Precio no es número",IF(N(G110)+N(H110)&lt;=0,"Falta precio","✓ OK")))))))))))</f>
        <v/>
      </c>
      <c r="M110" t="str">
        <f>IF(N110&lt;&gt;"W","",IF(TRIM(C110)&lt;&gt;"",TRIM(C110),IFERROR(LOOKUP(2,1/(N$9:N110="T"),D$9:D110),"")))</f>
        <v/>
      </c>
      <c r="N110" t="str">
        <f t="shared" si="5"/>
        <v/>
      </c>
      <c r="O110" t="str">
        <f>IF(M110="","",IF(COUNTIF(M$9:M110,M110)=1,MAX(O$8:O109)+1,""))</f>
        <v/>
      </c>
    </row>
    <row r="111" spans="1:15" x14ac:dyDescent="0.75">
      <c r="A111" s="24" t="str">
        <f>IF(N111="W",COUNTIF(N$9:N111,"W"),"")</f>
        <v/>
      </c>
      <c r="B111" s="25"/>
      <c r="C111" s="25"/>
      <c r="D111" s="26"/>
      <c r="E111" s="25"/>
      <c r="F111" s="27"/>
      <c r="G111" s="28"/>
      <c r="H111" s="28"/>
      <c r="I111" s="29" t="str">
        <f t="shared" si="3"/>
        <v/>
      </c>
      <c r="J111" s="30" t="str">
        <f t="shared" si="4"/>
        <v/>
      </c>
      <c r="K111" s="26"/>
      <c r="L111" s="24" t="str">
        <f>IF(N111="","",IF(N111="T","Título de capítulo",IF(OR(ISERROR(F111),ISERROR(G111),ISERROR(H111)),"Error en fórmula: pegá como valores",IF(AND(B111="",$C$6=""),"Falta sector",IF(M111="","Falta capítulo",IF(TRIM(E111)="","Falta unidad",IF(NOT((COUNTIF(Listas!$A$2:$A$40,E111)+COUNTIF(Listas!$D$2:$D$60,E111)&gt;0)),"Unidad no reconocida",IF(AND(F111&lt;&gt;"",NOT(ISNUMBER(F111))),"Cantidad no es número",IF(N(F111)&lt;=0,"Falta cantidad",IF(OR(AND(G111&lt;&gt;"",NOT(ISNUMBER(G111))),AND(H111&lt;&gt;"",NOT(ISNUMBER(H111)))),"Precio no es número",IF(N(G111)+N(H111)&lt;=0,"Falta precio","✓ OK")))))))))))</f>
        <v/>
      </c>
      <c r="M111" t="str">
        <f>IF(N111&lt;&gt;"W","",IF(TRIM(C111)&lt;&gt;"",TRIM(C111),IFERROR(LOOKUP(2,1/(N$9:N111="T"),D$9:D111),"")))</f>
        <v/>
      </c>
      <c r="N111" t="str">
        <f t="shared" si="5"/>
        <v/>
      </c>
      <c r="O111" t="str">
        <f>IF(M111="","",IF(COUNTIF(M$9:M111,M111)=1,MAX(O$8:O110)+1,""))</f>
        <v/>
      </c>
    </row>
    <row r="112" spans="1:15" x14ac:dyDescent="0.75">
      <c r="A112" s="24" t="str">
        <f>IF(N112="W",COUNTIF(N$9:N112,"W"),"")</f>
        <v/>
      </c>
      <c r="B112" s="25"/>
      <c r="C112" s="25"/>
      <c r="D112" s="26"/>
      <c r="E112" s="25"/>
      <c r="F112" s="27"/>
      <c r="G112" s="28"/>
      <c r="H112" s="28"/>
      <c r="I112" s="29" t="str">
        <f t="shared" si="3"/>
        <v/>
      </c>
      <c r="J112" s="30" t="str">
        <f t="shared" si="4"/>
        <v/>
      </c>
      <c r="K112" s="26"/>
      <c r="L112" s="24" t="str">
        <f>IF(N112="","",IF(N112="T","Título de capítulo",IF(OR(ISERROR(F112),ISERROR(G112),ISERROR(H112)),"Error en fórmula: pegá como valores",IF(AND(B112="",$C$6=""),"Falta sector",IF(M112="","Falta capítulo",IF(TRIM(E112)="","Falta unidad",IF(NOT((COUNTIF(Listas!$A$2:$A$40,E112)+COUNTIF(Listas!$D$2:$D$60,E112)&gt;0)),"Unidad no reconocida",IF(AND(F112&lt;&gt;"",NOT(ISNUMBER(F112))),"Cantidad no es número",IF(N(F112)&lt;=0,"Falta cantidad",IF(OR(AND(G112&lt;&gt;"",NOT(ISNUMBER(G112))),AND(H112&lt;&gt;"",NOT(ISNUMBER(H112)))),"Precio no es número",IF(N(G112)+N(H112)&lt;=0,"Falta precio","✓ OK")))))))))))</f>
        <v/>
      </c>
      <c r="M112" t="str">
        <f>IF(N112&lt;&gt;"W","",IF(TRIM(C112)&lt;&gt;"",TRIM(C112),IFERROR(LOOKUP(2,1/(N$9:N112="T"),D$9:D112),"")))</f>
        <v/>
      </c>
      <c r="N112" t="str">
        <f t="shared" si="5"/>
        <v/>
      </c>
      <c r="O112" t="str">
        <f>IF(M112="","",IF(COUNTIF(M$9:M112,M112)=1,MAX(O$8:O111)+1,""))</f>
        <v/>
      </c>
    </row>
    <row r="113" spans="1:15" x14ac:dyDescent="0.75">
      <c r="A113" s="24" t="str">
        <f>IF(N113="W",COUNTIF(N$9:N113,"W"),"")</f>
        <v/>
      </c>
      <c r="B113" s="25"/>
      <c r="C113" s="25"/>
      <c r="D113" s="26"/>
      <c r="E113" s="25"/>
      <c r="F113" s="27"/>
      <c r="G113" s="28"/>
      <c r="H113" s="28"/>
      <c r="I113" s="29" t="str">
        <f t="shared" si="3"/>
        <v/>
      </c>
      <c r="J113" s="30" t="str">
        <f t="shared" si="4"/>
        <v/>
      </c>
      <c r="K113" s="26"/>
      <c r="L113" s="24" t="str">
        <f>IF(N113="","",IF(N113="T","Título de capítulo",IF(OR(ISERROR(F113),ISERROR(G113),ISERROR(H113)),"Error en fórmula: pegá como valores",IF(AND(B113="",$C$6=""),"Falta sector",IF(M113="","Falta capítulo",IF(TRIM(E113)="","Falta unidad",IF(NOT((COUNTIF(Listas!$A$2:$A$40,E113)+COUNTIF(Listas!$D$2:$D$60,E113)&gt;0)),"Unidad no reconocida",IF(AND(F113&lt;&gt;"",NOT(ISNUMBER(F113))),"Cantidad no es número",IF(N(F113)&lt;=0,"Falta cantidad",IF(OR(AND(G113&lt;&gt;"",NOT(ISNUMBER(G113))),AND(H113&lt;&gt;"",NOT(ISNUMBER(H113)))),"Precio no es número",IF(N(G113)+N(H113)&lt;=0,"Falta precio","✓ OK")))))))))))</f>
        <v/>
      </c>
      <c r="M113" t="str">
        <f>IF(N113&lt;&gt;"W","",IF(TRIM(C113)&lt;&gt;"",TRIM(C113),IFERROR(LOOKUP(2,1/(N$9:N113="T"),D$9:D113),"")))</f>
        <v/>
      </c>
      <c r="N113" t="str">
        <f t="shared" si="5"/>
        <v/>
      </c>
      <c r="O113" t="str">
        <f>IF(M113="","",IF(COUNTIF(M$9:M113,M113)=1,MAX(O$8:O112)+1,""))</f>
        <v/>
      </c>
    </row>
    <row r="114" spans="1:15" x14ac:dyDescent="0.75">
      <c r="A114" s="24" t="str">
        <f>IF(N114="W",COUNTIF(N$9:N114,"W"),"")</f>
        <v/>
      </c>
      <c r="B114" s="25"/>
      <c r="C114" s="25"/>
      <c r="D114" s="26"/>
      <c r="E114" s="25"/>
      <c r="F114" s="27"/>
      <c r="G114" s="28"/>
      <c r="H114" s="28"/>
      <c r="I114" s="29" t="str">
        <f t="shared" si="3"/>
        <v/>
      </c>
      <c r="J114" s="30" t="str">
        <f t="shared" si="4"/>
        <v/>
      </c>
      <c r="K114" s="26"/>
      <c r="L114" s="24" t="str">
        <f>IF(N114="","",IF(N114="T","Título de capítulo",IF(OR(ISERROR(F114),ISERROR(G114),ISERROR(H114)),"Error en fórmula: pegá como valores",IF(AND(B114="",$C$6=""),"Falta sector",IF(M114="","Falta capítulo",IF(TRIM(E114)="","Falta unidad",IF(NOT((COUNTIF(Listas!$A$2:$A$40,E114)+COUNTIF(Listas!$D$2:$D$60,E114)&gt;0)),"Unidad no reconocida",IF(AND(F114&lt;&gt;"",NOT(ISNUMBER(F114))),"Cantidad no es número",IF(N(F114)&lt;=0,"Falta cantidad",IF(OR(AND(G114&lt;&gt;"",NOT(ISNUMBER(G114))),AND(H114&lt;&gt;"",NOT(ISNUMBER(H114)))),"Precio no es número",IF(N(G114)+N(H114)&lt;=0,"Falta precio","✓ OK")))))))))))</f>
        <v/>
      </c>
      <c r="M114" t="str">
        <f>IF(N114&lt;&gt;"W","",IF(TRIM(C114)&lt;&gt;"",TRIM(C114),IFERROR(LOOKUP(2,1/(N$9:N114="T"),D$9:D114),"")))</f>
        <v/>
      </c>
      <c r="N114" t="str">
        <f t="shared" si="5"/>
        <v/>
      </c>
      <c r="O114" t="str">
        <f>IF(M114="","",IF(COUNTIF(M$9:M114,M114)=1,MAX(O$8:O113)+1,""))</f>
        <v/>
      </c>
    </row>
    <row r="115" spans="1:15" x14ac:dyDescent="0.75">
      <c r="A115" s="24" t="str">
        <f>IF(N115="W",COUNTIF(N$9:N115,"W"),"")</f>
        <v/>
      </c>
      <c r="B115" s="25"/>
      <c r="C115" s="25"/>
      <c r="D115" s="26"/>
      <c r="E115" s="25"/>
      <c r="F115" s="27"/>
      <c r="G115" s="28"/>
      <c r="H115" s="28"/>
      <c r="I115" s="29" t="str">
        <f t="shared" si="3"/>
        <v/>
      </c>
      <c r="J115" s="30" t="str">
        <f t="shared" si="4"/>
        <v/>
      </c>
      <c r="K115" s="26"/>
      <c r="L115" s="24" t="str">
        <f>IF(N115="","",IF(N115="T","Título de capítulo",IF(OR(ISERROR(F115),ISERROR(G115),ISERROR(H115)),"Error en fórmula: pegá como valores",IF(AND(B115="",$C$6=""),"Falta sector",IF(M115="","Falta capítulo",IF(TRIM(E115)="","Falta unidad",IF(NOT((COUNTIF(Listas!$A$2:$A$40,E115)+COUNTIF(Listas!$D$2:$D$60,E115)&gt;0)),"Unidad no reconocida",IF(AND(F115&lt;&gt;"",NOT(ISNUMBER(F115))),"Cantidad no es número",IF(N(F115)&lt;=0,"Falta cantidad",IF(OR(AND(G115&lt;&gt;"",NOT(ISNUMBER(G115))),AND(H115&lt;&gt;"",NOT(ISNUMBER(H115)))),"Precio no es número",IF(N(G115)+N(H115)&lt;=0,"Falta precio","✓ OK")))))))))))</f>
        <v/>
      </c>
      <c r="M115" t="str">
        <f>IF(N115&lt;&gt;"W","",IF(TRIM(C115)&lt;&gt;"",TRIM(C115),IFERROR(LOOKUP(2,1/(N$9:N115="T"),D$9:D115),"")))</f>
        <v/>
      </c>
      <c r="N115" t="str">
        <f t="shared" si="5"/>
        <v/>
      </c>
      <c r="O115" t="str">
        <f>IF(M115="","",IF(COUNTIF(M$9:M115,M115)=1,MAX(O$8:O114)+1,""))</f>
        <v/>
      </c>
    </row>
    <row r="116" spans="1:15" x14ac:dyDescent="0.75">
      <c r="A116" s="24" t="str">
        <f>IF(N116="W",COUNTIF(N$9:N116,"W"),"")</f>
        <v/>
      </c>
      <c r="B116" s="25"/>
      <c r="C116" s="25"/>
      <c r="D116" s="26"/>
      <c r="E116" s="25"/>
      <c r="F116" s="27"/>
      <c r="G116" s="28"/>
      <c r="H116" s="28"/>
      <c r="I116" s="29" t="str">
        <f t="shared" si="3"/>
        <v/>
      </c>
      <c r="J116" s="30" t="str">
        <f t="shared" si="4"/>
        <v/>
      </c>
      <c r="K116" s="26"/>
      <c r="L116" s="24" t="str">
        <f>IF(N116="","",IF(N116="T","Título de capítulo",IF(OR(ISERROR(F116),ISERROR(G116),ISERROR(H116)),"Error en fórmula: pegá como valores",IF(AND(B116="",$C$6=""),"Falta sector",IF(M116="","Falta capítulo",IF(TRIM(E116)="","Falta unidad",IF(NOT((COUNTIF(Listas!$A$2:$A$40,E116)+COUNTIF(Listas!$D$2:$D$60,E116)&gt;0)),"Unidad no reconocida",IF(AND(F116&lt;&gt;"",NOT(ISNUMBER(F116))),"Cantidad no es número",IF(N(F116)&lt;=0,"Falta cantidad",IF(OR(AND(G116&lt;&gt;"",NOT(ISNUMBER(G116))),AND(H116&lt;&gt;"",NOT(ISNUMBER(H116)))),"Precio no es número",IF(N(G116)+N(H116)&lt;=0,"Falta precio","✓ OK")))))))))))</f>
        <v/>
      </c>
      <c r="M116" t="str">
        <f>IF(N116&lt;&gt;"W","",IF(TRIM(C116)&lt;&gt;"",TRIM(C116),IFERROR(LOOKUP(2,1/(N$9:N116="T"),D$9:D116),"")))</f>
        <v/>
      </c>
      <c r="N116" t="str">
        <f t="shared" si="5"/>
        <v/>
      </c>
      <c r="O116" t="str">
        <f>IF(M116="","",IF(COUNTIF(M$9:M116,M116)=1,MAX(O$8:O115)+1,""))</f>
        <v/>
      </c>
    </row>
    <row r="117" spans="1:15" x14ac:dyDescent="0.75">
      <c r="A117" s="24" t="str">
        <f>IF(N117="W",COUNTIF(N$9:N117,"W"),"")</f>
        <v/>
      </c>
      <c r="B117" s="25"/>
      <c r="C117" s="25"/>
      <c r="D117" s="26"/>
      <c r="E117" s="25"/>
      <c r="F117" s="27"/>
      <c r="G117" s="28"/>
      <c r="H117" s="28"/>
      <c r="I117" s="29" t="str">
        <f t="shared" si="3"/>
        <v/>
      </c>
      <c r="J117" s="30" t="str">
        <f t="shared" si="4"/>
        <v/>
      </c>
      <c r="K117" s="26"/>
      <c r="L117" s="24" t="str">
        <f>IF(N117="","",IF(N117="T","Título de capítulo",IF(OR(ISERROR(F117),ISERROR(G117),ISERROR(H117)),"Error en fórmula: pegá como valores",IF(AND(B117="",$C$6=""),"Falta sector",IF(M117="","Falta capítulo",IF(TRIM(E117)="","Falta unidad",IF(NOT((COUNTIF(Listas!$A$2:$A$40,E117)+COUNTIF(Listas!$D$2:$D$60,E117)&gt;0)),"Unidad no reconocida",IF(AND(F117&lt;&gt;"",NOT(ISNUMBER(F117))),"Cantidad no es número",IF(N(F117)&lt;=0,"Falta cantidad",IF(OR(AND(G117&lt;&gt;"",NOT(ISNUMBER(G117))),AND(H117&lt;&gt;"",NOT(ISNUMBER(H117)))),"Precio no es número",IF(N(G117)+N(H117)&lt;=0,"Falta precio","✓ OK")))))))))))</f>
        <v/>
      </c>
      <c r="M117" t="str">
        <f>IF(N117&lt;&gt;"W","",IF(TRIM(C117)&lt;&gt;"",TRIM(C117),IFERROR(LOOKUP(2,1/(N$9:N117="T"),D$9:D117),"")))</f>
        <v/>
      </c>
      <c r="N117" t="str">
        <f t="shared" si="5"/>
        <v/>
      </c>
      <c r="O117" t="str">
        <f>IF(M117="","",IF(COUNTIF(M$9:M117,M117)=1,MAX(O$8:O116)+1,""))</f>
        <v/>
      </c>
    </row>
    <row r="118" spans="1:15" x14ac:dyDescent="0.75">
      <c r="A118" s="24" t="str">
        <f>IF(N118="W",COUNTIF(N$9:N118,"W"),"")</f>
        <v/>
      </c>
      <c r="B118" s="25"/>
      <c r="C118" s="25"/>
      <c r="D118" s="26"/>
      <c r="E118" s="25"/>
      <c r="F118" s="27"/>
      <c r="G118" s="28"/>
      <c r="H118" s="28"/>
      <c r="I118" s="29" t="str">
        <f t="shared" si="3"/>
        <v/>
      </c>
      <c r="J118" s="30" t="str">
        <f t="shared" si="4"/>
        <v/>
      </c>
      <c r="K118" s="26"/>
      <c r="L118" s="24" t="str">
        <f>IF(N118="","",IF(N118="T","Título de capítulo",IF(OR(ISERROR(F118),ISERROR(G118),ISERROR(H118)),"Error en fórmula: pegá como valores",IF(AND(B118="",$C$6=""),"Falta sector",IF(M118="","Falta capítulo",IF(TRIM(E118)="","Falta unidad",IF(NOT((COUNTIF(Listas!$A$2:$A$40,E118)+COUNTIF(Listas!$D$2:$D$60,E118)&gt;0)),"Unidad no reconocida",IF(AND(F118&lt;&gt;"",NOT(ISNUMBER(F118))),"Cantidad no es número",IF(N(F118)&lt;=0,"Falta cantidad",IF(OR(AND(G118&lt;&gt;"",NOT(ISNUMBER(G118))),AND(H118&lt;&gt;"",NOT(ISNUMBER(H118)))),"Precio no es número",IF(N(G118)+N(H118)&lt;=0,"Falta precio","✓ OK")))))))))))</f>
        <v/>
      </c>
      <c r="M118" t="str">
        <f>IF(N118&lt;&gt;"W","",IF(TRIM(C118)&lt;&gt;"",TRIM(C118),IFERROR(LOOKUP(2,1/(N$9:N118="T"),D$9:D118),"")))</f>
        <v/>
      </c>
      <c r="N118" t="str">
        <f t="shared" si="5"/>
        <v/>
      </c>
      <c r="O118" t="str">
        <f>IF(M118="","",IF(COUNTIF(M$9:M118,M118)=1,MAX(O$8:O117)+1,""))</f>
        <v/>
      </c>
    </row>
    <row r="119" spans="1:15" x14ac:dyDescent="0.75">
      <c r="A119" s="24" t="str">
        <f>IF(N119="W",COUNTIF(N$9:N119,"W"),"")</f>
        <v/>
      </c>
      <c r="B119" s="25"/>
      <c r="C119" s="25"/>
      <c r="D119" s="26"/>
      <c r="E119" s="25"/>
      <c r="F119" s="27"/>
      <c r="G119" s="28"/>
      <c r="H119" s="28"/>
      <c r="I119" s="29" t="str">
        <f t="shared" si="3"/>
        <v/>
      </c>
      <c r="J119" s="30" t="str">
        <f t="shared" si="4"/>
        <v/>
      </c>
      <c r="K119" s="26"/>
      <c r="L119" s="24" t="str">
        <f>IF(N119="","",IF(N119="T","Título de capítulo",IF(OR(ISERROR(F119),ISERROR(G119),ISERROR(H119)),"Error en fórmula: pegá como valores",IF(AND(B119="",$C$6=""),"Falta sector",IF(M119="","Falta capítulo",IF(TRIM(E119)="","Falta unidad",IF(NOT((COUNTIF(Listas!$A$2:$A$40,E119)+COUNTIF(Listas!$D$2:$D$60,E119)&gt;0)),"Unidad no reconocida",IF(AND(F119&lt;&gt;"",NOT(ISNUMBER(F119))),"Cantidad no es número",IF(N(F119)&lt;=0,"Falta cantidad",IF(OR(AND(G119&lt;&gt;"",NOT(ISNUMBER(G119))),AND(H119&lt;&gt;"",NOT(ISNUMBER(H119)))),"Precio no es número",IF(N(G119)+N(H119)&lt;=0,"Falta precio","✓ OK")))))))))))</f>
        <v/>
      </c>
      <c r="M119" t="str">
        <f>IF(N119&lt;&gt;"W","",IF(TRIM(C119)&lt;&gt;"",TRIM(C119),IFERROR(LOOKUP(2,1/(N$9:N119="T"),D$9:D119),"")))</f>
        <v/>
      </c>
      <c r="N119" t="str">
        <f t="shared" si="5"/>
        <v/>
      </c>
      <c r="O119" t="str">
        <f>IF(M119="","",IF(COUNTIF(M$9:M119,M119)=1,MAX(O$8:O118)+1,""))</f>
        <v/>
      </c>
    </row>
    <row r="120" spans="1:15" x14ac:dyDescent="0.75">
      <c r="A120" s="24" t="str">
        <f>IF(N120="W",COUNTIF(N$9:N120,"W"),"")</f>
        <v/>
      </c>
      <c r="B120" s="25"/>
      <c r="C120" s="25"/>
      <c r="D120" s="26"/>
      <c r="E120" s="25"/>
      <c r="F120" s="27"/>
      <c r="G120" s="28"/>
      <c r="H120" s="28"/>
      <c r="I120" s="29" t="str">
        <f t="shared" si="3"/>
        <v/>
      </c>
      <c r="J120" s="30" t="str">
        <f t="shared" si="4"/>
        <v/>
      </c>
      <c r="K120" s="26"/>
      <c r="L120" s="24" t="str">
        <f>IF(N120="","",IF(N120="T","Título de capítulo",IF(OR(ISERROR(F120),ISERROR(G120),ISERROR(H120)),"Error en fórmula: pegá como valores",IF(AND(B120="",$C$6=""),"Falta sector",IF(M120="","Falta capítulo",IF(TRIM(E120)="","Falta unidad",IF(NOT((COUNTIF(Listas!$A$2:$A$40,E120)+COUNTIF(Listas!$D$2:$D$60,E120)&gt;0)),"Unidad no reconocida",IF(AND(F120&lt;&gt;"",NOT(ISNUMBER(F120))),"Cantidad no es número",IF(N(F120)&lt;=0,"Falta cantidad",IF(OR(AND(G120&lt;&gt;"",NOT(ISNUMBER(G120))),AND(H120&lt;&gt;"",NOT(ISNUMBER(H120)))),"Precio no es número",IF(N(G120)+N(H120)&lt;=0,"Falta precio","✓ OK")))))))))))</f>
        <v/>
      </c>
      <c r="M120" t="str">
        <f>IF(N120&lt;&gt;"W","",IF(TRIM(C120)&lt;&gt;"",TRIM(C120),IFERROR(LOOKUP(2,1/(N$9:N120="T"),D$9:D120),"")))</f>
        <v/>
      </c>
      <c r="N120" t="str">
        <f t="shared" si="5"/>
        <v/>
      </c>
      <c r="O120" t="str">
        <f>IF(M120="","",IF(COUNTIF(M$9:M120,M120)=1,MAX(O$8:O119)+1,""))</f>
        <v/>
      </c>
    </row>
    <row r="121" spans="1:15" x14ac:dyDescent="0.75">
      <c r="A121" s="24" t="str">
        <f>IF(N121="W",COUNTIF(N$9:N121,"W"),"")</f>
        <v/>
      </c>
      <c r="B121" s="25"/>
      <c r="C121" s="25"/>
      <c r="D121" s="26"/>
      <c r="E121" s="25"/>
      <c r="F121" s="27"/>
      <c r="G121" s="28"/>
      <c r="H121" s="28"/>
      <c r="I121" s="29" t="str">
        <f t="shared" si="3"/>
        <v/>
      </c>
      <c r="J121" s="30" t="str">
        <f t="shared" si="4"/>
        <v/>
      </c>
      <c r="K121" s="26"/>
      <c r="L121" s="24" t="str">
        <f>IF(N121="","",IF(N121="T","Título de capítulo",IF(OR(ISERROR(F121),ISERROR(G121),ISERROR(H121)),"Error en fórmula: pegá como valores",IF(AND(B121="",$C$6=""),"Falta sector",IF(M121="","Falta capítulo",IF(TRIM(E121)="","Falta unidad",IF(NOT((COUNTIF(Listas!$A$2:$A$40,E121)+COUNTIF(Listas!$D$2:$D$60,E121)&gt;0)),"Unidad no reconocida",IF(AND(F121&lt;&gt;"",NOT(ISNUMBER(F121))),"Cantidad no es número",IF(N(F121)&lt;=0,"Falta cantidad",IF(OR(AND(G121&lt;&gt;"",NOT(ISNUMBER(G121))),AND(H121&lt;&gt;"",NOT(ISNUMBER(H121)))),"Precio no es número",IF(N(G121)+N(H121)&lt;=0,"Falta precio","✓ OK")))))))))))</f>
        <v/>
      </c>
      <c r="M121" t="str">
        <f>IF(N121&lt;&gt;"W","",IF(TRIM(C121)&lt;&gt;"",TRIM(C121),IFERROR(LOOKUP(2,1/(N$9:N121="T"),D$9:D121),"")))</f>
        <v/>
      </c>
      <c r="N121" t="str">
        <f t="shared" si="5"/>
        <v/>
      </c>
      <c r="O121" t="str">
        <f>IF(M121="","",IF(COUNTIF(M$9:M121,M121)=1,MAX(O$8:O120)+1,""))</f>
        <v/>
      </c>
    </row>
    <row r="122" spans="1:15" x14ac:dyDescent="0.75">
      <c r="A122" s="24" t="str">
        <f>IF(N122="W",COUNTIF(N$9:N122,"W"),"")</f>
        <v/>
      </c>
      <c r="B122" s="25"/>
      <c r="C122" s="25"/>
      <c r="D122" s="26"/>
      <c r="E122" s="25"/>
      <c r="F122" s="27"/>
      <c r="G122" s="28"/>
      <c r="H122" s="28"/>
      <c r="I122" s="29" t="str">
        <f t="shared" si="3"/>
        <v/>
      </c>
      <c r="J122" s="30" t="str">
        <f t="shared" si="4"/>
        <v/>
      </c>
      <c r="K122" s="26"/>
      <c r="L122" s="24" t="str">
        <f>IF(N122="","",IF(N122="T","Título de capítulo",IF(OR(ISERROR(F122),ISERROR(G122),ISERROR(H122)),"Error en fórmula: pegá como valores",IF(AND(B122="",$C$6=""),"Falta sector",IF(M122="","Falta capítulo",IF(TRIM(E122)="","Falta unidad",IF(NOT((COUNTIF(Listas!$A$2:$A$40,E122)+COUNTIF(Listas!$D$2:$D$60,E122)&gt;0)),"Unidad no reconocida",IF(AND(F122&lt;&gt;"",NOT(ISNUMBER(F122))),"Cantidad no es número",IF(N(F122)&lt;=0,"Falta cantidad",IF(OR(AND(G122&lt;&gt;"",NOT(ISNUMBER(G122))),AND(H122&lt;&gt;"",NOT(ISNUMBER(H122)))),"Precio no es número",IF(N(G122)+N(H122)&lt;=0,"Falta precio","✓ OK")))))))))))</f>
        <v/>
      </c>
      <c r="M122" t="str">
        <f>IF(N122&lt;&gt;"W","",IF(TRIM(C122)&lt;&gt;"",TRIM(C122),IFERROR(LOOKUP(2,1/(N$9:N122="T"),D$9:D122),"")))</f>
        <v/>
      </c>
      <c r="N122" t="str">
        <f t="shared" si="5"/>
        <v/>
      </c>
      <c r="O122" t="str">
        <f>IF(M122="","",IF(COUNTIF(M$9:M122,M122)=1,MAX(O$8:O121)+1,""))</f>
        <v/>
      </c>
    </row>
    <row r="123" spans="1:15" x14ac:dyDescent="0.75">
      <c r="A123" s="24" t="str">
        <f>IF(N123="W",COUNTIF(N$9:N123,"W"),"")</f>
        <v/>
      </c>
      <c r="B123" s="25"/>
      <c r="C123" s="25"/>
      <c r="D123" s="26"/>
      <c r="E123" s="25"/>
      <c r="F123" s="27"/>
      <c r="G123" s="28"/>
      <c r="H123" s="28"/>
      <c r="I123" s="29" t="str">
        <f t="shared" si="3"/>
        <v/>
      </c>
      <c r="J123" s="30" t="str">
        <f t="shared" si="4"/>
        <v/>
      </c>
      <c r="K123" s="26"/>
      <c r="L123" s="24" t="str">
        <f>IF(N123="","",IF(N123="T","Título de capítulo",IF(OR(ISERROR(F123),ISERROR(G123),ISERROR(H123)),"Error en fórmula: pegá como valores",IF(AND(B123="",$C$6=""),"Falta sector",IF(M123="","Falta capítulo",IF(TRIM(E123)="","Falta unidad",IF(NOT((COUNTIF(Listas!$A$2:$A$40,E123)+COUNTIF(Listas!$D$2:$D$60,E123)&gt;0)),"Unidad no reconocida",IF(AND(F123&lt;&gt;"",NOT(ISNUMBER(F123))),"Cantidad no es número",IF(N(F123)&lt;=0,"Falta cantidad",IF(OR(AND(G123&lt;&gt;"",NOT(ISNUMBER(G123))),AND(H123&lt;&gt;"",NOT(ISNUMBER(H123)))),"Precio no es número",IF(N(G123)+N(H123)&lt;=0,"Falta precio","✓ OK")))))))))))</f>
        <v/>
      </c>
      <c r="M123" t="str">
        <f>IF(N123&lt;&gt;"W","",IF(TRIM(C123)&lt;&gt;"",TRIM(C123),IFERROR(LOOKUP(2,1/(N$9:N123="T"),D$9:D123),"")))</f>
        <v/>
      </c>
      <c r="N123" t="str">
        <f t="shared" si="5"/>
        <v/>
      </c>
      <c r="O123" t="str">
        <f>IF(M123="","",IF(COUNTIF(M$9:M123,M123)=1,MAX(O$8:O122)+1,""))</f>
        <v/>
      </c>
    </row>
    <row r="124" spans="1:15" x14ac:dyDescent="0.75">
      <c r="A124" s="24" t="str">
        <f>IF(N124="W",COUNTIF(N$9:N124,"W"),"")</f>
        <v/>
      </c>
      <c r="B124" s="25"/>
      <c r="C124" s="25"/>
      <c r="D124" s="26"/>
      <c r="E124" s="25"/>
      <c r="F124" s="27"/>
      <c r="G124" s="28"/>
      <c r="H124" s="28"/>
      <c r="I124" s="29" t="str">
        <f t="shared" si="3"/>
        <v/>
      </c>
      <c r="J124" s="30" t="str">
        <f t="shared" si="4"/>
        <v/>
      </c>
      <c r="K124" s="26"/>
      <c r="L124" s="24" t="str">
        <f>IF(N124="","",IF(N124="T","Título de capítulo",IF(OR(ISERROR(F124),ISERROR(G124),ISERROR(H124)),"Error en fórmula: pegá como valores",IF(AND(B124="",$C$6=""),"Falta sector",IF(M124="","Falta capítulo",IF(TRIM(E124)="","Falta unidad",IF(NOT((COUNTIF(Listas!$A$2:$A$40,E124)+COUNTIF(Listas!$D$2:$D$60,E124)&gt;0)),"Unidad no reconocida",IF(AND(F124&lt;&gt;"",NOT(ISNUMBER(F124))),"Cantidad no es número",IF(N(F124)&lt;=0,"Falta cantidad",IF(OR(AND(G124&lt;&gt;"",NOT(ISNUMBER(G124))),AND(H124&lt;&gt;"",NOT(ISNUMBER(H124)))),"Precio no es número",IF(N(G124)+N(H124)&lt;=0,"Falta precio","✓ OK")))))))))))</f>
        <v/>
      </c>
      <c r="M124" t="str">
        <f>IF(N124&lt;&gt;"W","",IF(TRIM(C124)&lt;&gt;"",TRIM(C124),IFERROR(LOOKUP(2,1/(N$9:N124="T"),D$9:D124),"")))</f>
        <v/>
      </c>
      <c r="N124" t="str">
        <f t="shared" si="5"/>
        <v/>
      </c>
      <c r="O124" t="str">
        <f>IF(M124="","",IF(COUNTIF(M$9:M124,M124)=1,MAX(O$8:O123)+1,""))</f>
        <v/>
      </c>
    </row>
    <row r="125" spans="1:15" x14ac:dyDescent="0.75">
      <c r="A125" s="24" t="str">
        <f>IF(N125="W",COUNTIF(N$9:N125,"W"),"")</f>
        <v/>
      </c>
      <c r="B125" s="25"/>
      <c r="C125" s="25"/>
      <c r="D125" s="26"/>
      <c r="E125" s="25"/>
      <c r="F125" s="27"/>
      <c r="G125" s="28"/>
      <c r="H125" s="28"/>
      <c r="I125" s="29" t="str">
        <f t="shared" si="3"/>
        <v/>
      </c>
      <c r="J125" s="30" t="str">
        <f t="shared" si="4"/>
        <v/>
      </c>
      <c r="K125" s="26"/>
      <c r="L125" s="24" t="str">
        <f>IF(N125="","",IF(N125="T","Título de capítulo",IF(OR(ISERROR(F125),ISERROR(G125),ISERROR(H125)),"Error en fórmula: pegá como valores",IF(AND(B125="",$C$6=""),"Falta sector",IF(M125="","Falta capítulo",IF(TRIM(E125)="","Falta unidad",IF(NOT((COUNTIF(Listas!$A$2:$A$40,E125)+COUNTIF(Listas!$D$2:$D$60,E125)&gt;0)),"Unidad no reconocida",IF(AND(F125&lt;&gt;"",NOT(ISNUMBER(F125))),"Cantidad no es número",IF(N(F125)&lt;=0,"Falta cantidad",IF(OR(AND(G125&lt;&gt;"",NOT(ISNUMBER(G125))),AND(H125&lt;&gt;"",NOT(ISNUMBER(H125)))),"Precio no es número",IF(N(G125)+N(H125)&lt;=0,"Falta precio","✓ OK")))))))))))</f>
        <v/>
      </c>
      <c r="M125" t="str">
        <f>IF(N125&lt;&gt;"W","",IF(TRIM(C125)&lt;&gt;"",TRIM(C125),IFERROR(LOOKUP(2,1/(N$9:N125="T"),D$9:D125),"")))</f>
        <v/>
      </c>
      <c r="N125" t="str">
        <f t="shared" si="5"/>
        <v/>
      </c>
      <c r="O125" t="str">
        <f>IF(M125="","",IF(COUNTIF(M$9:M125,M125)=1,MAX(O$8:O124)+1,""))</f>
        <v/>
      </c>
    </row>
    <row r="126" spans="1:15" x14ac:dyDescent="0.75">
      <c r="A126" s="24" t="str">
        <f>IF(N126="W",COUNTIF(N$9:N126,"W"),"")</f>
        <v/>
      </c>
      <c r="B126" s="25"/>
      <c r="C126" s="25"/>
      <c r="D126" s="26"/>
      <c r="E126" s="25"/>
      <c r="F126" s="27"/>
      <c r="G126" s="28"/>
      <c r="H126" s="28"/>
      <c r="I126" s="29" t="str">
        <f t="shared" si="3"/>
        <v/>
      </c>
      <c r="J126" s="30" t="str">
        <f t="shared" si="4"/>
        <v/>
      </c>
      <c r="K126" s="26"/>
      <c r="L126" s="24" t="str">
        <f>IF(N126="","",IF(N126="T","Título de capítulo",IF(OR(ISERROR(F126),ISERROR(G126),ISERROR(H126)),"Error en fórmula: pegá como valores",IF(AND(B126="",$C$6=""),"Falta sector",IF(M126="","Falta capítulo",IF(TRIM(E126)="","Falta unidad",IF(NOT((COUNTIF(Listas!$A$2:$A$40,E126)+COUNTIF(Listas!$D$2:$D$60,E126)&gt;0)),"Unidad no reconocida",IF(AND(F126&lt;&gt;"",NOT(ISNUMBER(F126))),"Cantidad no es número",IF(N(F126)&lt;=0,"Falta cantidad",IF(OR(AND(G126&lt;&gt;"",NOT(ISNUMBER(G126))),AND(H126&lt;&gt;"",NOT(ISNUMBER(H126)))),"Precio no es número",IF(N(G126)+N(H126)&lt;=0,"Falta precio","✓ OK")))))))))))</f>
        <v/>
      </c>
      <c r="M126" t="str">
        <f>IF(N126&lt;&gt;"W","",IF(TRIM(C126)&lt;&gt;"",TRIM(C126),IFERROR(LOOKUP(2,1/(N$9:N126="T"),D$9:D126),"")))</f>
        <v/>
      </c>
      <c r="N126" t="str">
        <f t="shared" si="5"/>
        <v/>
      </c>
      <c r="O126" t="str">
        <f>IF(M126="","",IF(COUNTIF(M$9:M126,M126)=1,MAX(O$8:O125)+1,""))</f>
        <v/>
      </c>
    </row>
    <row r="127" spans="1:15" x14ac:dyDescent="0.75">
      <c r="A127" s="24" t="str">
        <f>IF(N127="W",COUNTIF(N$9:N127,"W"),"")</f>
        <v/>
      </c>
      <c r="B127" s="25"/>
      <c r="C127" s="25"/>
      <c r="D127" s="26"/>
      <c r="E127" s="25"/>
      <c r="F127" s="27"/>
      <c r="G127" s="28"/>
      <c r="H127" s="28"/>
      <c r="I127" s="29" t="str">
        <f t="shared" si="3"/>
        <v/>
      </c>
      <c r="J127" s="30" t="str">
        <f t="shared" si="4"/>
        <v/>
      </c>
      <c r="K127" s="26"/>
      <c r="L127" s="24" t="str">
        <f>IF(N127="","",IF(N127="T","Título de capítulo",IF(OR(ISERROR(F127),ISERROR(G127),ISERROR(H127)),"Error en fórmula: pegá como valores",IF(AND(B127="",$C$6=""),"Falta sector",IF(M127="","Falta capítulo",IF(TRIM(E127)="","Falta unidad",IF(NOT((COUNTIF(Listas!$A$2:$A$40,E127)+COUNTIF(Listas!$D$2:$D$60,E127)&gt;0)),"Unidad no reconocida",IF(AND(F127&lt;&gt;"",NOT(ISNUMBER(F127))),"Cantidad no es número",IF(N(F127)&lt;=0,"Falta cantidad",IF(OR(AND(G127&lt;&gt;"",NOT(ISNUMBER(G127))),AND(H127&lt;&gt;"",NOT(ISNUMBER(H127)))),"Precio no es número",IF(N(G127)+N(H127)&lt;=0,"Falta precio","✓ OK")))))))))))</f>
        <v/>
      </c>
      <c r="M127" t="str">
        <f>IF(N127&lt;&gt;"W","",IF(TRIM(C127)&lt;&gt;"",TRIM(C127),IFERROR(LOOKUP(2,1/(N$9:N127="T"),D$9:D127),"")))</f>
        <v/>
      </c>
      <c r="N127" t="str">
        <f t="shared" si="5"/>
        <v/>
      </c>
      <c r="O127" t="str">
        <f>IF(M127="","",IF(COUNTIF(M$9:M127,M127)=1,MAX(O$8:O126)+1,""))</f>
        <v/>
      </c>
    </row>
    <row r="128" spans="1:15" x14ac:dyDescent="0.75">
      <c r="A128" s="24" t="str">
        <f>IF(N128="W",COUNTIF(N$9:N128,"W"),"")</f>
        <v/>
      </c>
      <c r="B128" s="25"/>
      <c r="C128" s="25"/>
      <c r="D128" s="26"/>
      <c r="E128" s="25"/>
      <c r="F128" s="27"/>
      <c r="G128" s="28"/>
      <c r="H128" s="28"/>
      <c r="I128" s="29" t="str">
        <f t="shared" si="3"/>
        <v/>
      </c>
      <c r="J128" s="30" t="str">
        <f t="shared" si="4"/>
        <v/>
      </c>
      <c r="K128" s="26"/>
      <c r="L128" s="24" t="str">
        <f>IF(N128="","",IF(N128="T","Título de capítulo",IF(OR(ISERROR(F128),ISERROR(G128),ISERROR(H128)),"Error en fórmula: pegá como valores",IF(AND(B128="",$C$6=""),"Falta sector",IF(M128="","Falta capítulo",IF(TRIM(E128)="","Falta unidad",IF(NOT((COUNTIF(Listas!$A$2:$A$40,E128)+COUNTIF(Listas!$D$2:$D$60,E128)&gt;0)),"Unidad no reconocida",IF(AND(F128&lt;&gt;"",NOT(ISNUMBER(F128))),"Cantidad no es número",IF(N(F128)&lt;=0,"Falta cantidad",IF(OR(AND(G128&lt;&gt;"",NOT(ISNUMBER(G128))),AND(H128&lt;&gt;"",NOT(ISNUMBER(H128)))),"Precio no es número",IF(N(G128)+N(H128)&lt;=0,"Falta precio","✓ OK")))))))))))</f>
        <v/>
      </c>
      <c r="M128" t="str">
        <f>IF(N128&lt;&gt;"W","",IF(TRIM(C128)&lt;&gt;"",TRIM(C128),IFERROR(LOOKUP(2,1/(N$9:N128="T"),D$9:D128),"")))</f>
        <v/>
      </c>
      <c r="N128" t="str">
        <f t="shared" si="5"/>
        <v/>
      </c>
      <c r="O128" t="str">
        <f>IF(M128="","",IF(COUNTIF(M$9:M128,M128)=1,MAX(O$8:O127)+1,""))</f>
        <v/>
      </c>
    </row>
    <row r="129" spans="1:15" x14ac:dyDescent="0.75">
      <c r="A129" s="24" t="str">
        <f>IF(N129="W",COUNTIF(N$9:N129,"W"),"")</f>
        <v/>
      </c>
      <c r="B129" s="25"/>
      <c r="C129" s="25"/>
      <c r="D129" s="26"/>
      <c r="E129" s="25"/>
      <c r="F129" s="27"/>
      <c r="G129" s="28"/>
      <c r="H129" s="28"/>
      <c r="I129" s="29" t="str">
        <f t="shared" si="3"/>
        <v/>
      </c>
      <c r="J129" s="30" t="str">
        <f t="shared" si="4"/>
        <v/>
      </c>
      <c r="K129" s="26"/>
      <c r="L129" s="24" t="str">
        <f>IF(N129="","",IF(N129="T","Título de capítulo",IF(OR(ISERROR(F129),ISERROR(G129),ISERROR(H129)),"Error en fórmula: pegá como valores",IF(AND(B129="",$C$6=""),"Falta sector",IF(M129="","Falta capítulo",IF(TRIM(E129)="","Falta unidad",IF(NOT((COUNTIF(Listas!$A$2:$A$40,E129)+COUNTIF(Listas!$D$2:$D$60,E129)&gt;0)),"Unidad no reconocida",IF(AND(F129&lt;&gt;"",NOT(ISNUMBER(F129))),"Cantidad no es número",IF(N(F129)&lt;=0,"Falta cantidad",IF(OR(AND(G129&lt;&gt;"",NOT(ISNUMBER(G129))),AND(H129&lt;&gt;"",NOT(ISNUMBER(H129)))),"Precio no es número",IF(N(G129)+N(H129)&lt;=0,"Falta precio","✓ OK")))))))))))</f>
        <v/>
      </c>
      <c r="M129" t="str">
        <f>IF(N129&lt;&gt;"W","",IF(TRIM(C129)&lt;&gt;"",TRIM(C129),IFERROR(LOOKUP(2,1/(N$9:N129="T"),D$9:D129),"")))</f>
        <v/>
      </c>
      <c r="N129" t="str">
        <f t="shared" si="5"/>
        <v/>
      </c>
      <c r="O129" t="str">
        <f>IF(M129="","",IF(COUNTIF(M$9:M129,M129)=1,MAX(O$8:O128)+1,""))</f>
        <v/>
      </c>
    </row>
    <row r="130" spans="1:15" x14ac:dyDescent="0.75">
      <c r="A130" s="24" t="str">
        <f>IF(N130="W",COUNTIF(N$9:N130,"W"),"")</f>
        <v/>
      </c>
      <c r="B130" s="25"/>
      <c r="C130" s="25"/>
      <c r="D130" s="26"/>
      <c r="E130" s="25"/>
      <c r="F130" s="27"/>
      <c r="G130" s="28"/>
      <c r="H130" s="28"/>
      <c r="I130" s="29" t="str">
        <f t="shared" si="3"/>
        <v/>
      </c>
      <c r="J130" s="30" t="str">
        <f t="shared" si="4"/>
        <v/>
      </c>
      <c r="K130" s="26"/>
      <c r="L130" s="24" t="str">
        <f>IF(N130="","",IF(N130="T","Título de capítulo",IF(OR(ISERROR(F130),ISERROR(G130),ISERROR(H130)),"Error en fórmula: pegá como valores",IF(AND(B130="",$C$6=""),"Falta sector",IF(M130="","Falta capítulo",IF(TRIM(E130)="","Falta unidad",IF(NOT((COUNTIF(Listas!$A$2:$A$40,E130)+COUNTIF(Listas!$D$2:$D$60,E130)&gt;0)),"Unidad no reconocida",IF(AND(F130&lt;&gt;"",NOT(ISNUMBER(F130))),"Cantidad no es número",IF(N(F130)&lt;=0,"Falta cantidad",IF(OR(AND(G130&lt;&gt;"",NOT(ISNUMBER(G130))),AND(H130&lt;&gt;"",NOT(ISNUMBER(H130)))),"Precio no es número",IF(N(G130)+N(H130)&lt;=0,"Falta precio","✓ OK")))))))))))</f>
        <v/>
      </c>
      <c r="M130" t="str">
        <f>IF(N130&lt;&gt;"W","",IF(TRIM(C130)&lt;&gt;"",TRIM(C130),IFERROR(LOOKUP(2,1/(N$9:N130="T"),D$9:D130),"")))</f>
        <v/>
      </c>
      <c r="N130" t="str">
        <f t="shared" si="5"/>
        <v/>
      </c>
      <c r="O130" t="str">
        <f>IF(M130="","",IF(COUNTIF(M$9:M130,M130)=1,MAX(O$8:O129)+1,""))</f>
        <v/>
      </c>
    </row>
    <row r="131" spans="1:15" x14ac:dyDescent="0.75">
      <c r="A131" s="24" t="str">
        <f>IF(N131="W",COUNTIF(N$9:N131,"W"),"")</f>
        <v/>
      </c>
      <c r="B131" s="25"/>
      <c r="C131" s="25"/>
      <c r="D131" s="26"/>
      <c r="E131" s="25"/>
      <c r="F131" s="27"/>
      <c r="G131" s="28"/>
      <c r="H131" s="28"/>
      <c r="I131" s="29" t="str">
        <f t="shared" si="3"/>
        <v/>
      </c>
      <c r="J131" s="30" t="str">
        <f t="shared" si="4"/>
        <v/>
      </c>
      <c r="K131" s="26"/>
      <c r="L131" s="24" t="str">
        <f>IF(N131="","",IF(N131="T","Título de capítulo",IF(OR(ISERROR(F131),ISERROR(G131),ISERROR(H131)),"Error en fórmula: pegá como valores",IF(AND(B131="",$C$6=""),"Falta sector",IF(M131="","Falta capítulo",IF(TRIM(E131)="","Falta unidad",IF(NOT((COUNTIF(Listas!$A$2:$A$40,E131)+COUNTIF(Listas!$D$2:$D$60,E131)&gt;0)),"Unidad no reconocida",IF(AND(F131&lt;&gt;"",NOT(ISNUMBER(F131))),"Cantidad no es número",IF(N(F131)&lt;=0,"Falta cantidad",IF(OR(AND(G131&lt;&gt;"",NOT(ISNUMBER(G131))),AND(H131&lt;&gt;"",NOT(ISNUMBER(H131)))),"Precio no es número",IF(N(G131)+N(H131)&lt;=0,"Falta precio","✓ OK")))))))))))</f>
        <v/>
      </c>
      <c r="M131" t="str">
        <f>IF(N131&lt;&gt;"W","",IF(TRIM(C131)&lt;&gt;"",TRIM(C131),IFERROR(LOOKUP(2,1/(N$9:N131="T"),D$9:D131),"")))</f>
        <v/>
      </c>
      <c r="N131" t="str">
        <f t="shared" si="5"/>
        <v/>
      </c>
      <c r="O131" t="str">
        <f>IF(M131="","",IF(COUNTIF(M$9:M131,M131)=1,MAX(O$8:O130)+1,""))</f>
        <v/>
      </c>
    </row>
    <row r="132" spans="1:15" x14ac:dyDescent="0.75">
      <c r="A132" s="24" t="str">
        <f>IF(N132="W",COUNTIF(N$9:N132,"W"),"")</f>
        <v/>
      </c>
      <c r="B132" s="25"/>
      <c r="C132" s="25"/>
      <c r="D132" s="26"/>
      <c r="E132" s="25"/>
      <c r="F132" s="27"/>
      <c r="G132" s="28"/>
      <c r="H132" s="28"/>
      <c r="I132" s="29" t="str">
        <f t="shared" si="3"/>
        <v/>
      </c>
      <c r="J132" s="30" t="str">
        <f t="shared" si="4"/>
        <v/>
      </c>
      <c r="K132" s="26"/>
      <c r="L132" s="24" t="str">
        <f>IF(N132="","",IF(N132="T","Título de capítulo",IF(OR(ISERROR(F132),ISERROR(G132),ISERROR(H132)),"Error en fórmula: pegá como valores",IF(AND(B132="",$C$6=""),"Falta sector",IF(M132="","Falta capítulo",IF(TRIM(E132)="","Falta unidad",IF(NOT((COUNTIF(Listas!$A$2:$A$40,E132)+COUNTIF(Listas!$D$2:$D$60,E132)&gt;0)),"Unidad no reconocida",IF(AND(F132&lt;&gt;"",NOT(ISNUMBER(F132))),"Cantidad no es número",IF(N(F132)&lt;=0,"Falta cantidad",IF(OR(AND(G132&lt;&gt;"",NOT(ISNUMBER(G132))),AND(H132&lt;&gt;"",NOT(ISNUMBER(H132)))),"Precio no es número",IF(N(G132)+N(H132)&lt;=0,"Falta precio","✓ OK")))))))))))</f>
        <v/>
      </c>
      <c r="M132" t="str">
        <f>IF(N132&lt;&gt;"W","",IF(TRIM(C132)&lt;&gt;"",TRIM(C132),IFERROR(LOOKUP(2,1/(N$9:N132="T"),D$9:D132),"")))</f>
        <v/>
      </c>
      <c r="N132" t="str">
        <f t="shared" si="5"/>
        <v/>
      </c>
      <c r="O132" t="str">
        <f>IF(M132="","",IF(COUNTIF(M$9:M132,M132)=1,MAX(O$8:O131)+1,""))</f>
        <v/>
      </c>
    </row>
    <row r="133" spans="1:15" x14ac:dyDescent="0.75">
      <c r="A133" s="24" t="str">
        <f>IF(N133="W",COUNTIF(N$9:N133,"W"),"")</f>
        <v/>
      </c>
      <c r="B133" s="25"/>
      <c r="C133" s="25"/>
      <c r="D133" s="26"/>
      <c r="E133" s="25"/>
      <c r="F133" s="27"/>
      <c r="G133" s="28"/>
      <c r="H133" s="28"/>
      <c r="I133" s="29" t="str">
        <f t="shared" si="3"/>
        <v/>
      </c>
      <c r="J133" s="30" t="str">
        <f t="shared" si="4"/>
        <v/>
      </c>
      <c r="K133" s="26"/>
      <c r="L133" s="24" t="str">
        <f>IF(N133="","",IF(N133="T","Título de capítulo",IF(OR(ISERROR(F133),ISERROR(G133),ISERROR(H133)),"Error en fórmula: pegá como valores",IF(AND(B133="",$C$6=""),"Falta sector",IF(M133="","Falta capítulo",IF(TRIM(E133)="","Falta unidad",IF(NOT((COUNTIF(Listas!$A$2:$A$40,E133)+COUNTIF(Listas!$D$2:$D$60,E133)&gt;0)),"Unidad no reconocida",IF(AND(F133&lt;&gt;"",NOT(ISNUMBER(F133))),"Cantidad no es número",IF(N(F133)&lt;=0,"Falta cantidad",IF(OR(AND(G133&lt;&gt;"",NOT(ISNUMBER(G133))),AND(H133&lt;&gt;"",NOT(ISNUMBER(H133)))),"Precio no es número",IF(N(G133)+N(H133)&lt;=0,"Falta precio","✓ OK")))))))))))</f>
        <v/>
      </c>
      <c r="M133" t="str">
        <f>IF(N133&lt;&gt;"W","",IF(TRIM(C133)&lt;&gt;"",TRIM(C133),IFERROR(LOOKUP(2,1/(N$9:N133="T"),D$9:D133),"")))</f>
        <v/>
      </c>
      <c r="N133" t="str">
        <f t="shared" si="5"/>
        <v/>
      </c>
      <c r="O133" t="str">
        <f>IF(M133="","",IF(COUNTIF(M$9:M133,M133)=1,MAX(O$8:O132)+1,""))</f>
        <v/>
      </c>
    </row>
    <row r="134" spans="1:15" x14ac:dyDescent="0.75">
      <c r="A134" s="24" t="str">
        <f>IF(N134="W",COUNTIF(N$9:N134,"W"),"")</f>
        <v/>
      </c>
      <c r="B134" s="25"/>
      <c r="C134" s="25"/>
      <c r="D134" s="26"/>
      <c r="E134" s="25"/>
      <c r="F134" s="27"/>
      <c r="G134" s="28"/>
      <c r="H134" s="28"/>
      <c r="I134" s="29" t="str">
        <f t="shared" si="3"/>
        <v/>
      </c>
      <c r="J134" s="30" t="str">
        <f t="shared" si="4"/>
        <v/>
      </c>
      <c r="K134" s="26"/>
      <c r="L134" s="24" t="str">
        <f>IF(N134="","",IF(N134="T","Título de capítulo",IF(OR(ISERROR(F134),ISERROR(G134),ISERROR(H134)),"Error en fórmula: pegá como valores",IF(AND(B134="",$C$6=""),"Falta sector",IF(M134="","Falta capítulo",IF(TRIM(E134)="","Falta unidad",IF(NOT((COUNTIF(Listas!$A$2:$A$40,E134)+COUNTIF(Listas!$D$2:$D$60,E134)&gt;0)),"Unidad no reconocida",IF(AND(F134&lt;&gt;"",NOT(ISNUMBER(F134))),"Cantidad no es número",IF(N(F134)&lt;=0,"Falta cantidad",IF(OR(AND(G134&lt;&gt;"",NOT(ISNUMBER(G134))),AND(H134&lt;&gt;"",NOT(ISNUMBER(H134)))),"Precio no es número",IF(N(G134)+N(H134)&lt;=0,"Falta precio","✓ OK")))))))))))</f>
        <v/>
      </c>
      <c r="M134" t="str">
        <f>IF(N134&lt;&gt;"W","",IF(TRIM(C134)&lt;&gt;"",TRIM(C134),IFERROR(LOOKUP(2,1/(N$9:N134="T"),D$9:D134),"")))</f>
        <v/>
      </c>
      <c r="N134" t="str">
        <f t="shared" si="5"/>
        <v/>
      </c>
      <c r="O134" t="str">
        <f>IF(M134="","",IF(COUNTIF(M$9:M134,M134)=1,MAX(O$8:O133)+1,""))</f>
        <v/>
      </c>
    </row>
    <row r="135" spans="1:15" x14ac:dyDescent="0.75">
      <c r="A135" s="24" t="str">
        <f>IF(N135="W",COUNTIF(N$9:N135,"W"),"")</f>
        <v/>
      </c>
      <c r="B135" s="25"/>
      <c r="C135" s="25"/>
      <c r="D135" s="26"/>
      <c r="E135" s="25"/>
      <c r="F135" s="27"/>
      <c r="G135" s="28"/>
      <c r="H135" s="28"/>
      <c r="I135" s="29" t="str">
        <f t="shared" si="3"/>
        <v/>
      </c>
      <c r="J135" s="30" t="str">
        <f t="shared" si="4"/>
        <v/>
      </c>
      <c r="K135" s="26"/>
      <c r="L135" s="24" t="str">
        <f>IF(N135="","",IF(N135="T","Título de capítulo",IF(OR(ISERROR(F135),ISERROR(G135),ISERROR(H135)),"Error en fórmula: pegá como valores",IF(AND(B135="",$C$6=""),"Falta sector",IF(M135="","Falta capítulo",IF(TRIM(E135)="","Falta unidad",IF(NOT((COUNTIF(Listas!$A$2:$A$40,E135)+COUNTIF(Listas!$D$2:$D$60,E135)&gt;0)),"Unidad no reconocida",IF(AND(F135&lt;&gt;"",NOT(ISNUMBER(F135))),"Cantidad no es número",IF(N(F135)&lt;=0,"Falta cantidad",IF(OR(AND(G135&lt;&gt;"",NOT(ISNUMBER(G135))),AND(H135&lt;&gt;"",NOT(ISNUMBER(H135)))),"Precio no es número",IF(N(G135)+N(H135)&lt;=0,"Falta precio","✓ OK")))))))))))</f>
        <v/>
      </c>
      <c r="M135" t="str">
        <f>IF(N135&lt;&gt;"W","",IF(TRIM(C135)&lt;&gt;"",TRIM(C135),IFERROR(LOOKUP(2,1/(N$9:N135="T"),D$9:D135),"")))</f>
        <v/>
      </c>
      <c r="N135" t="str">
        <f t="shared" si="5"/>
        <v/>
      </c>
      <c r="O135" t="str">
        <f>IF(M135="","",IF(COUNTIF(M$9:M135,M135)=1,MAX(O$8:O134)+1,""))</f>
        <v/>
      </c>
    </row>
    <row r="136" spans="1:15" x14ac:dyDescent="0.75">
      <c r="A136" s="24" t="str">
        <f>IF(N136="W",COUNTIF(N$9:N136,"W"),"")</f>
        <v/>
      </c>
      <c r="B136" s="25"/>
      <c r="C136" s="25"/>
      <c r="D136" s="26"/>
      <c r="E136" s="25"/>
      <c r="F136" s="27"/>
      <c r="G136" s="28"/>
      <c r="H136" s="28"/>
      <c r="I136" s="29" t="str">
        <f t="shared" si="3"/>
        <v/>
      </c>
      <c r="J136" s="30" t="str">
        <f t="shared" si="4"/>
        <v/>
      </c>
      <c r="K136" s="26"/>
      <c r="L136" s="24" t="str">
        <f>IF(N136="","",IF(N136="T","Título de capítulo",IF(OR(ISERROR(F136),ISERROR(G136),ISERROR(H136)),"Error en fórmula: pegá como valores",IF(AND(B136="",$C$6=""),"Falta sector",IF(M136="","Falta capítulo",IF(TRIM(E136)="","Falta unidad",IF(NOT((COUNTIF(Listas!$A$2:$A$40,E136)+COUNTIF(Listas!$D$2:$D$60,E136)&gt;0)),"Unidad no reconocida",IF(AND(F136&lt;&gt;"",NOT(ISNUMBER(F136))),"Cantidad no es número",IF(N(F136)&lt;=0,"Falta cantidad",IF(OR(AND(G136&lt;&gt;"",NOT(ISNUMBER(G136))),AND(H136&lt;&gt;"",NOT(ISNUMBER(H136)))),"Precio no es número",IF(N(G136)+N(H136)&lt;=0,"Falta precio","✓ OK")))))))))))</f>
        <v/>
      </c>
      <c r="M136" t="str">
        <f>IF(N136&lt;&gt;"W","",IF(TRIM(C136)&lt;&gt;"",TRIM(C136),IFERROR(LOOKUP(2,1/(N$9:N136="T"),D$9:D136),"")))</f>
        <v/>
      </c>
      <c r="N136" t="str">
        <f t="shared" si="5"/>
        <v/>
      </c>
      <c r="O136" t="str">
        <f>IF(M136="","",IF(COUNTIF(M$9:M136,M136)=1,MAX(O$8:O135)+1,""))</f>
        <v/>
      </c>
    </row>
    <row r="137" spans="1:15" x14ac:dyDescent="0.75">
      <c r="A137" s="24" t="str">
        <f>IF(N137="W",COUNTIF(N$9:N137,"W"),"")</f>
        <v/>
      </c>
      <c r="B137" s="25"/>
      <c r="C137" s="25"/>
      <c r="D137" s="26"/>
      <c r="E137" s="25"/>
      <c r="F137" s="27"/>
      <c r="G137" s="28"/>
      <c r="H137" s="28"/>
      <c r="I137" s="29" t="str">
        <f t="shared" ref="I137:I200" si="6">IF(N137="W",IFERROR(N(G137)+N(H137),0),"")</f>
        <v/>
      </c>
      <c r="J137" s="30" t="str">
        <f t="shared" ref="J137:J200" si="7">IF(N137="W",IFERROR(N(F137)*I137,0),"")</f>
        <v/>
      </c>
      <c r="K137" s="26"/>
      <c r="L137" s="24" t="str">
        <f>IF(N137="","",IF(N137="T","Título de capítulo",IF(OR(ISERROR(F137),ISERROR(G137),ISERROR(H137)),"Error en fórmula: pegá como valores",IF(AND(B137="",$C$6=""),"Falta sector",IF(M137="","Falta capítulo",IF(TRIM(E137)="","Falta unidad",IF(NOT((COUNTIF(Listas!$A$2:$A$40,E137)+COUNTIF(Listas!$D$2:$D$60,E137)&gt;0)),"Unidad no reconocida",IF(AND(F137&lt;&gt;"",NOT(ISNUMBER(F137))),"Cantidad no es número",IF(N(F137)&lt;=0,"Falta cantidad",IF(OR(AND(G137&lt;&gt;"",NOT(ISNUMBER(G137))),AND(H137&lt;&gt;"",NOT(ISNUMBER(H137)))),"Precio no es número",IF(N(G137)+N(H137)&lt;=0,"Falta precio","✓ OK")))))))))))</f>
        <v/>
      </c>
      <c r="M137" t="str">
        <f>IF(N137&lt;&gt;"W","",IF(TRIM(C137)&lt;&gt;"",TRIM(C137),IFERROR(LOOKUP(2,1/(N$9:N137="T"),D$9:D137),"")))</f>
        <v/>
      </c>
      <c r="N137" t="str">
        <f t="shared" ref="N137:N200" si="8">IF(TRIM(D137)="","",IF(AND(TRIM(E137)="",IFERROR(N(F137),1)=0,IFERROR(N(G137)+N(H137),1)=0),"T","W"))</f>
        <v/>
      </c>
      <c r="O137" t="str">
        <f>IF(M137="","",IF(COUNTIF(M$9:M137,M137)=1,MAX(O$8:O136)+1,""))</f>
        <v/>
      </c>
    </row>
    <row r="138" spans="1:15" x14ac:dyDescent="0.75">
      <c r="A138" s="24" t="str">
        <f>IF(N138="W",COUNTIF(N$9:N138,"W"),"")</f>
        <v/>
      </c>
      <c r="B138" s="25"/>
      <c r="C138" s="25"/>
      <c r="D138" s="26"/>
      <c r="E138" s="25"/>
      <c r="F138" s="27"/>
      <c r="G138" s="28"/>
      <c r="H138" s="28"/>
      <c r="I138" s="29" t="str">
        <f t="shared" si="6"/>
        <v/>
      </c>
      <c r="J138" s="30" t="str">
        <f t="shared" si="7"/>
        <v/>
      </c>
      <c r="K138" s="26"/>
      <c r="L138" s="24" t="str">
        <f>IF(N138="","",IF(N138="T","Título de capítulo",IF(OR(ISERROR(F138),ISERROR(G138),ISERROR(H138)),"Error en fórmula: pegá como valores",IF(AND(B138="",$C$6=""),"Falta sector",IF(M138="","Falta capítulo",IF(TRIM(E138)="","Falta unidad",IF(NOT((COUNTIF(Listas!$A$2:$A$40,E138)+COUNTIF(Listas!$D$2:$D$60,E138)&gt;0)),"Unidad no reconocida",IF(AND(F138&lt;&gt;"",NOT(ISNUMBER(F138))),"Cantidad no es número",IF(N(F138)&lt;=0,"Falta cantidad",IF(OR(AND(G138&lt;&gt;"",NOT(ISNUMBER(G138))),AND(H138&lt;&gt;"",NOT(ISNUMBER(H138)))),"Precio no es número",IF(N(G138)+N(H138)&lt;=0,"Falta precio","✓ OK")))))))))))</f>
        <v/>
      </c>
      <c r="M138" t="str">
        <f>IF(N138&lt;&gt;"W","",IF(TRIM(C138)&lt;&gt;"",TRIM(C138),IFERROR(LOOKUP(2,1/(N$9:N138="T"),D$9:D138),"")))</f>
        <v/>
      </c>
      <c r="N138" t="str">
        <f t="shared" si="8"/>
        <v/>
      </c>
      <c r="O138" t="str">
        <f>IF(M138="","",IF(COUNTIF(M$9:M138,M138)=1,MAX(O$8:O137)+1,""))</f>
        <v/>
      </c>
    </row>
    <row r="139" spans="1:15" x14ac:dyDescent="0.75">
      <c r="A139" s="24" t="str">
        <f>IF(N139="W",COUNTIF(N$9:N139,"W"),"")</f>
        <v/>
      </c>
      <c r="B139" s="25"/>
      <c r="C139" s="25"/>
      <c r="D139" s="26"/>
      <c r="E139" s="25"/>
      <c r="F139" s="27"/>
      <c r="G139" s="28"/>
      <c r="H139" s="28"/>
      <c r="I139" s="29" t="str">
        <f t="shared" si="6"/>
        <v/>
      </c>
      <c r="J139" s="30" t="str">
        <f t="shared" si="7"/>
        <v/>
      </c>
      <c r="K139" s="26"/>
      <c r="L139" s="24" t="str">
        <f>IF(N139="","",IF(N139="T","Título de capítulo",IF(OR(ISERROR(F139),ISERROR(G139),ISERROR(H139)),"Error en fórmula: pegá como valores",IF(AND(B139="",$C$6=""),"Falta sector",IF(M139="","Falta capítulo",IF(TRIM(E139)="","Falta unidad",IF(NOT((COUNTIF(Listas!$A$2:$A$40,E139)+COUNTIF(Listas!$D$2:$D$60,E139)&gt;0)),"Unidad no reconocida",IF(AND(F139&lt;&gt;"",NOT(ISNUMBER(F139))),"Cantidad no es número",IF(N(F139)&lt;=0,"Falta cantidad",IF(OR(AND(G139&lt;&gt;"",NOT(ISNUMBER(G139))),AND(H139&lt;&gt;"",NOT(ISNUMBER(H139)))),"Precio no es número",IF(N(G139)+N(H139)&lt;=0,"Falta precio","✓ OK")))))))))))</f>
        <v/>
      </c>
      <c r="M139" t="str">
        <f>IF(N139&lt;&gt;"W","",IF(TRIM(C139)&lt;&gt;"",TRIM(C139),IFERROR(LOOKUP(2,1/(N$9:N139="T"),D$9:D139),"")))</f>
        <v/>
      </c>
      <c r="N139" t="str">
        <f t="shared" si="8"/>
        <v/>
      </c>
      <c r="O139" t="str">
        <f>IF(M139="","",IF(COUNTIF(M$9:M139,M139)=1,MAX(O$8:O138)+1,""))</f>
        <v/>
      </c>
    </row>
    <row r="140" spans="1:15" x14ac:dyDescent="0.75">
      <c r="A140" s="24" t="str">
        <f>IF(N140="W",COUNTIF(N$9:N140,"W"),"")</f>
        <v/>
      </c>
      <c r="B140" s="25"/>
      <c r="C140" s="25"/>
      <c r="D140" s="26"/>
      <c r="E140" s="25"/>
      <c r="F140" s="27"/>
      <c r="G140" s="28"/>
      <c r="H140" s="28"/>
      <c r="I140" s="29" t="str">
        <f t="shared" si="6"/>
        <v/>
      </c>
      <c r="J140" s="30" t="str">
        <f t="shared" si="7"/>
        <v/>
      </c>
      <c r="K140" s="26"/>
      <c r="L140" s="24" t="str">
        <f>IF(N140="","",IF(N140="T","Título de capítulo",IF(OR(ISERROR(F140),ISERROR(G140),ISERROR(H140)),"Error en fórmula: pegá como valores",IF(AND(B140="",$C$6=""),"Falta sector",IF(M140="","Falta capítulo",IF(TRIM(E140)="","Falta unidad",IF(NOT((COUNTIF(Listas!$A$2:$A$40,E140)+COUNTIF(Listas!$D$2:$D$60,E140)&gt;0)),"Unidad no reconocida",IF(AND(F140&lt;&gt;"",NOT(ISNUMBER(F140))),"Cantidad no es número",IF(N(F140)&lt;=0,"Falta cantidad",IF(OR(AND(G140&lt;&gt;"",NOT(ISNUMBER(G140))),AND(H140&lt;&gt;"",NOT(ISNUMBER(H140)))),"Precio no es número",IF(N(G140)+N(H140)&lt;=0,"Falta precio","✓ OK")))))))))))</f>
        <v/>
      </c>
      <c r="M140" t="str">
        <f>IF(N140&lt;&gt;"W","",IF(TRIM(C140)&lt;&gt;"",TRIM(C140),IFERROR(LOOKUP(2,1/(N$9:N140="T"),D$9:D140),"")))</f>
        <v/>
      </c>
      <c r="N140" t="str">
        <f t="shared" si="8"/>
        <v/>
      </c>
      <c r="O140" t="str">
        <f>IF(M140="","",IF(COUNTIF(M$9:M140,M140)=1,MAX(O$8:O139)+1,""))</f>
        <v/>
      </c>
    </row>
    <row r="141" spans="1:15" x14ac:dyDescent="0.75">
      <c r="A141" s="24" t="str">
        <f>IF(N141="W",COUNTIF(N$9:N141,"W"),"")</f>
        <v/>
      </c>
      <c r="B141" s="25"/>
      <c r="C141" s="25"/>
      <c r="D141" s="26"/>
      <c r="E141" s="25"/>
      <c r="F141" s="27"/>
      <c r="G141" s="28"/>
      <c r="H141" s="28"/>
      <c r="I141" s="29" t="str">
        <f t="shared" si="6"/>
        <v/>
      </c>
      <c r="J141" s="30" t="str">
        <f t="shared" si="7"/>
        <v/>
      </c>
      <c r="K141" s="26"/>
      <c r="L141" s="24" t="str">
        <f>IF(N141="","",IF(N141="T","Título de capítulo",IF(OR(ISERROR(F141),ISERROR(G141),ISERROR(H141)),"Error en fórmula: pegá como valores",IF(AND(B141="",$C$6=""),"Falta sector",IF(M141="","Falta capítulo",IF(TRIM(E141)="","Falta unidad",IF(NOT((COUNTIF(Listas!$A$2:$A$40,E141)+COUNTIF(Listas!$D$2:$D$60,E141)&gt;0)),"Unidad no reconocida",IF(AND(F141&lt;&gt;"",NOT(ISNUMBER(F141))),"Cantidad no es número",IF(N(F141)&lt;=0,"Falta cantidad",IF(OR(AND(G141&lt;&gt;"",NOT(ISNUMBER(G141))),AND(H141&lt;&gt;"",NOT(ISNUMBER(H141)))),"Precio no es número",IF(N(G141)+N(H141)&lt;=0,"Falta precio","✓ OK")))))))))))</f>
        <v/>
      </c>
      <c r="M141" t="str">
        <f>IF(N141&lt;&gt;"W","",IF(TRIM(C141)&lt;&gt;"",TRIM(C141),IFERROR(LOOKUP(2,1/(N$9:N141="T"),D$9:D141),"")))</f>
        <v/>
      </c>
      <c r="N141" t="str">
        <f t="shared" si="8"/>
        <v/>
      </c>
      <c r="O141" t="str">
        <f>IF(M141="","",IF(COUNTIF(M$9:M141,M141)=1,MAX(O$8:O140)+1,""))</f>
        <v/>
      </c>
    </row>
    <row r="142" spans="1:15" x14ac:dyDescent="0.75">
      <c r="A142" s="24" t="str">
        <f>IF(N142="W",COUNTIF(N$9:N142,"W"),"")</f>
        <v/>
      </c>
      <c r="B142" s="25"/>
      <c r="C142" s="25"/>
      <c r="D142" s="26"/>
      <c r="E142" s="25"/>
      <c r="F142" s="27"/>
      <c r="G142" s="28"/>
      <c r="H142" s="28"/>
      <c r="I142" s="29" t="str">
        <f t="shared" si="6"/>
        <v/>
      </c>
      <c r="J142" s="30" t="str">
        <f t="shared" si="7"/>
        <v/>
      </c>
      <c r="K142" s="26"/>
      <c r="L142" s="24" t="str">
        <f>IF(N142="","",IF(N142="T","Título de capítulo",IF(OR(ISERROR(F142),ISERROR(G142),ISERROR(H142)),"Error en fórmula: pegá como valores",IF(AND(B142="",$C$6=""),"Falta sector",IF(M142="","Falta capítulo",IF(TRIM(E142)="","Falta unidad",IF(NOT((COUNTIF(Listas!$A$2:$A$40,E142)+COUNTIF(Listas!$D$2:$D$60,E142)&gt;0)),"Unidad no reconocida",IF(AND(F142&lt;&gt;"",NOT(ISNUMBER(F142))),"Cantidad no es número",IF(N(F142)&lt;=0,"Falta cantidad",IF(OR(AND(G142&lt;&gt;"",NOT(ISNUMBER(G142))),AND(H142&lt;&gt;"",NOT(ISNUMBER(H142)))),"Precio no es número",IF(N(G142)+N(H142)&lt;=0,"Falta precio","✓ OK")))))))))))</f>
        <v/>
      </c>
      <c r="M142" t="str">
        <f>IF(N142&lt;&gt;"W","",IF(TRIM(C142)&lt;&gt;"",TRIM(C142),IFERROR(LOOKUP(2,1/(N$9:N142="T"),D$9:D142),"")))</f>
        <v/>
      </c>
      <c r="N142" t="str">
        <f t="shared" si="8"/>
        <v/>
      </c>
      <c r="O142" t="str">
        <f>IF(M142="","",IF(COUNTIF(M$9:M142,M142)=1,MAX(O$8:O141)+1,""))</f>
        <v/>
      </c>
    </row>
    <row r="143" spans="1:15" x14ac:dyDescent="0.75">
      <c r="A143" s="24" t="str">
        <f>IF(N143="W",COUNTIF(N$9:N143,"W"),"")</f>
        <v/>
      </c>
      <c r="B143" s="25"/>
      <c r="C143" s="25"/>
      <c r="D143" s="26"/>
      <c r="E143" s="25"/>
      <c r="F143" s="27"/>
      <c r="G143" s="28"/>
      <c r="H143" s="28"/>
      <c r="I143" s="29" t="str">
        <f t="shared" si="6"/>
        <v/>
      </c>
      <c r="J143" s="30" t="str">
        <f t="shared" si="7"/>
        <v/>
      </c>
      <c r="K143" s="26"/>
      <c r="L143" s="24" t="str">
        <f>IF(N143="","",IF(N143="T","Título de capítulo",IF(OR(ISERROR(F143),ISERROR(G143),ISERROR(H143)),"Error en fórmula: pegá como valores",IF(AND(B143="",$C$6=""),"Falta sector",IF(M143="","Falta capítulo",IF(TRIM(E143)="","Falta unidad",IF(NOT((COUNTIF(Listas!$A$2:$A$40,E143)+COUNTIF(Listas!$D$2:$D$60,E143)&gt;0)),"Unidad no reconocida",IF(AND(F143&lt;&gt;"",NOT(ISNUMBER(F143))),"Cantidad no es número",IF(N(F143)&lt;=0,"Falta cantidad",IF(OR(AND(G143&lt;&gt;"",NOT(ISNUMBER(G143))),AND(H143&lt;&gt;"",NOT(ISNUMBER(H143)))),"Precio no es número",IF(N(G143)+N(H143)&lt;=0,"Falta precio","✓ OK")))))))))))</f>
        <v/>
      </c>
      <c r="M143" t="str">
        <f>IF(N143&lt;&gt;"W","",IF(TRIM(C143)&lt;&gt;"",TRIM(C143),IFERROR(LOOKUP(2,1/(N$9:N143="T"),D$9:D143),"")))</f>
        <v/>
      </c>
      <c r="N143" t="str">
        <f t="shared" si="8"/>
        <v/>
      </c>
      <c r="O143" t="str">
        <f>IF(M143="","",IF(COUNTIF(M$9:M143,M143)=1,MAX(O$8:O142)+1,""))</f>
        <v/>
      </c>
    </row>
    <row r="144" spans="1:15" x14ac:dyDescent="0.75">
      <c r="A144" s="24" t="str">
        <f>IF(N144="W",COUNTIF(N$9:N144,"W"),"")</f>
        <v/>
      </c>
      <c r="B144" s="25"/>
      <c r="C144" s="25"/>
      <c r="D144" s="26"/>
      <c r="E144" s="25"/>
      <c r="F144" s="27"/>
      <c r="G144" s="28"/>
      <c r="H144" s="28"/>
      <c r="I144" s="29" t="str">
        <f t="shared" si="6"/>
        <v/>
      </c>
      <c r="J144" s="30" t="str">
        <f t="shared" si="7"/>
        <v/>
      </c>
      <c r="K144" s="26"/>
      <c r="L144" s="24" t="str">
        <f>IF(N144="","",IF(N144="T","Título de capítulo",IF(OR(ISERROR(F144),ISERROR(G144),ISERROR(H144)),"Error en fórmula: pegá como valores",IF(AND(B144="",$C$6=""),"Falta sector",IF(M144="","Falta capítulo",IF(TRIM(E144)="","Falta unidad",IF(NOT((COUNTIF(Listas!$A$2:$A$40,E144)+COUNTIF(Listas!$D$2:$D$60,E144)&gt;0)),"Unidad no reconocida",IF(AND(F144&lt;&gt;"",NOT(ISNUMBER(F144))),"Cantidad no es número",IF(N(F144)&lt;=0,"Falta cantidad",IF(OR(AND(G144&lt;&gt;"",NOT(ISNUMBER(G144))),AND(H144&lt;&gt;"",NOT(ISNUMBER(H144)))),"Precio no es número",IF(N(G144)+N(H144)&lt;=0,"Falta precio","✓ OK")))))))))))</f>
        <v/>
      </c>
      <c r="M144" t="str">
        <f>IF(N144&lt;&gt;"W","",IF(TRIM(C144)&lt;&gt;"",TRIM(C144),IFERROR(LOOKUP(2,1/(N$9:N144="T"),D$9:D144),"")))</f>
        <v/>
      </c>
      <c r="N144" t="str">
        <f t="shared" si="8"/>
        <v/>
      </c>
      <c r="O144" t="str">
        <f>IF(M144="","",IF(COUNTIF(M$9:M144,M144)=1,MAX(O$8:O143)+1,""))</f>
        <v/>
      </c>
    </row>
    <row r="145" spans="1:15" x14ac:dyDescent="0.75">
      <c r="A145" s="24" t="str">
        <f>IF(N145="W",COUNTIF(N$9:N145,"W"),"")</f>
        <v/>
      </c>
      <c r="B145" s="25"/>
      <c r="C145" s="25"/>
      <c r="D145" s="26"/>
      <c r="E145" s="25"/>
      <c r="F145" s="27"/>
      <c r="G145" s="28"/>
      <c r="H145" s="28"/>
      <c r="I145" s="29" t="str">
        <f t="shared" si="6"/>
        <v/>
      </c>
      <c r="J145" s="30" t="str">
        <f t="shared" si="7"/>
        <v/>
      </c>
      <c r="K145" s="26"/>
      <c r="L145" s="24" t="str">
        <f>IF(N145="","",IF(N145="T","Título de capítulo",IF(OR(ISERROR(F145),ISERROR(G145),ISERROR(H145)),"Error en fórmula: pegá como valores",IF(AND(B145="",$C$6=""),"Falta sector",IF(M145="","Falta capítulo",IF(TRIM(E145)="","Falta unidad",IF(NOT((COUNTIF(Listas!$A$2:$A$40,E145)+COUNTIF(Listas!$D$2:$D$60,E145)&gt;0)),"Unidad no reconocida",IF(AND(F145&lt;&gt;"",NOT(ISNUMBER(F145))),"Cantidad no es número",IF(N(F145)&lt;=0,"Falta cantidad",IF(OR(AND(G145&lt;&gt;"",NOT(ISNUMBER(G145))),AND(H145&lt;&gt;"",NOT(ISNUMBER(H145)))),"Precio no es número",IF(N(G145)+N(H145)&lt;=0,"Falta precio","✓ OK")))))))))))</f>
        <v/>
      </c>
      <c r="M145" t="str">
        <f>IF(N145&lt;&gt;"W","",IF(TRIM(C145)&lt;&gt;"",TRIM(C145),IFERROR(LOOKUP(2,1/(N$9:N145="T"),D$9:D145),"")))</f>
        <v/>
      </c>
      <c r="N145" t="str">
        <f t="shared" si="8"/>
        <v/>
      </c>
      <c r="O145" t="str">
        <f>IF(M145="","",IF(COUNTIF(M$9:M145,M145)=1,MAX(O$8:O144)+1,""))</f>
        <v/>
      </c>
    </row>
    <row r="146" spans="1:15" x14ac:dyDescent="0.75">
      <c r="A146" s="24" t="str">
        <f>IF(N146="W",COUNTIF(N$9:N146,"W"),"")</f>
        <v/>
      </c>
      <c r="B146" s="25"/>
      <c r="C146" s="25"/>
      <c r="D146" s="26"/>
      <c r="E146" s="25"/>
      <c r="F146" s="27"/>
      <c r="G146" s="28"/>
      <c r="H146" s="28"/>
      <c r="I146" s="29" t="str">
        <f t="shared" si="6"/>
        <v/>
      </c>
      <c r="J146" s="30" t="str">
        <f t="shared" si="7"/>
        <v/>
      </c>
      <c r="K146" s="26"/>
      <c r="L146" s="24" t="str">
        <f>IF(N146="","",IF(N146="T","Título de capítulo",IF(OR(ISERROR(F146),ISERROR(G146),ISERROR(H146)),"Error en fórmula: pegá como valores",IF(AND(B146="",$C$6=""),"Falta sector",IF(M146="","Falta capítulo",IF(TRIM(E146)="","Falta unidad",IF(NOT((COUNTIF(Listas!$A$2:$A$40,E146)+COUNTIF(Listas!$D$2:$D$60,E146)&gt;0)),"Unidad no reconocida",IF(AND(F146&lt;&gt;"",NOT(ISNUMBER(F146))),"Cantidad no es número",IF(N(F146)&lt;=0,"Falta cantidad",IF(OR(AND(G146&lt;&gt;"",NOT(ISNUMBER(G146))),AND(H146&lt;&gt;"",NOT(ISNUMBER(H146)))),"Precio no es número",IF(N(G146)+N(H146)&lt;=0,"Falta precio","✓ OK")))))))))))</f>
        <v/>
      </c>
      <c r="M146" t="str">
        <f>IF(N146&lt;&gt;"W","",IF(TRIM(C146)&lt;&gt;"",TRIM(C146),IFERROR(LOOKUP(2,1/(N$9:N146="T"),D$9:D146),"")))</f>
        <v/>
      </c>
      <c r="N146" t="str">
        <f t="shared" si="8"/>
        <v/>
      </c>
      <c r="O146" t="str">
        <f>IF(M146="","",IF(COUNTIF(M$9:M146,M146)=1,MAX(O$8:O145)+1,""))</f>
        <v/>
      </c>
    </row>
    <row r="147" spans="1:15" x14ac:dyDescent="0.75">
      <c r="A147" s="24" t="str">
        <f>IF(N147="W",COUNTIF(N$9:N147,"W"),"")</f>
        <v/>
      </c>
      <c r="B147" s="25"/>
      <c r="C147" s="25"/>
      <c r="D147" s="26"/>
      <c r="E147" s="25"/>
      <c r="F147" s="27"/>
      <c r="G147" s="28"/>
      <c r="H147" s="28"/>
      <c r="I147" s="29" t="str">
        <f t="shared" si="6"/>
        <v/>
      </c>
      <c r="J147" s="30" t="str">
        <f t="shared" si="7"/>
        <v/>
      </c>
      <c r="K147" s="26"/>
      <c r="L147" s="24" t="str">
        <f>IF(N147="","",IF(N147="T","Título de capítulo",IF(OR(ISERROR(F147),ISERROR(G147),ISERROR(H147)),"Error en fórmula: pegá como valores",IF(AND(B147="",$C$6=""),"Falta sector",IF(M147="","Falta capítulo",IF(TRIM(E147)="","Falta unidad",IF(NOT((COUNTIF(Listas!$A$2:$A$40,E147)+COUNTIF(Listas!$D$2:$D$60,E147)&gt;0)),"Unidad no reconocida",IF(AND(F147&lt;&gt;"",NOT(ISNUMBER(F147))),"Cantidad no es número",IF(N(F147)&lt;=0,"Falta cantidad",IF(OR(AND(G147&lt;&gt;"",NOT(ISNUMBER(G147))),AND(H147&lt;&gt;"",NOT(ISNUMBER(H147)))),"Precio no es número",IF(N(G147)+N(H147)&lt;=0,"Falta precio","✓ OK")))))))))))</f>
        <v/>
      </c>
      <c r="M147" t="str">
        <f>IF(N147&lt;&gt;"W","",IF(TRIM(C147)&lt;&gt;"",TRIM(C147),IFERROR(LOOKUP(2,1/(N$9:N147="T"),D$9:D147),"")))</f>
        <v/>
      </c>
      <c r="N147" t="str">
        <f t="shared" si="8"/>
        <v/>
      </c>
      <c r="O147" t="str">
        <f>IF(M147="","",IF(COUNTIF(M$9:M147,M147)=1,MAX(O$8:O146)+1,""))</f>
        <v/>
      </c>
    </row>
    <row r="148" spans="1:15" x14ac:dyDescent="0.75">
      <c r="A148" s="24" t="str">
        <f>IF(N148="W",COUNTIF(N$9:N148,"W"),"")</f>
        <v/>
      </c>
      <c r="B148" s="25"/>
      <c r="C148" s="25"/>
      <c r="D148" s="26"/>
      <c r="E148" s="25"/>
      <c r="F148" s="27"/>
      <c r="G148" s="28"/>
      <c r="H148" s="28"/>
      <c r="I148" s="29" t="str">
        <f t="shared" si="6"/>
        <v/>
      </c>
      <c r="J148" s="30" t="str">
        <f t="shared" si="7"/>
        <v/>
      </c>
      <c r="K148" s="26"/>
      <c r="L148" s="24" t="str">
        <f>IF(N148="","",IF(N148="T","Título de capítulo",IF(OR(ISERROR(F148),ISERROR(G148),ISERROR(H148)),"Error en fórmula: pegá como valores",IF(AND(B148="",$C$6=""),"Falta sector",IF(M148="","Falta capítulo",IF(TRIM(E148)="","Falta unidad",IF(NOT((COUNTIF(Listas!$A$2:$A$40,E148)+COUNTIF(Listas!$D$2:$D$60,E148)&gt;0)),"Unidad no reconocida",IF(AND(F148&lt;&gt;"",NOT(ISNUMBER(F148))),"Cantidad no es número",IF(N(F148)&lt;=0,"Falta cantidad",IF(OR(AND(G148&lt;&gt;"",NOT(ISNUMBER(G148))),AND(H148&lt;&gt;"",NOT(ISNUMBER(H148)))),"Precio no es número",IF(N(G148)+N(H148)&lt;=0,"Falta precio","✓ OK")))))))))))</f>
        <v/>
      </c>
      <c r="M148" t="str">
        <f>IF(N148&lt;&gt;"W","",IF(TRIM(C148)&lt;&gt;"",TRIM(C148),IFERROR(LOOKUP(2,1/(N$9:N148="T"),D$9:D148),"")))</f>
        <v/>
      </c>
      <c r="N148" t="str">
        <f t="shared" si="8"/>
        <v/>
      </c>
      <c r="O148" t="str">
        <f>IF(M148="","",IF(COUNTIF(M$9:M148,M148)=1,MAX(O$8:O147)+1,""))</f>
        <v/>
      </c>
    </row>
    <row r="149" spans="1:15" x14ac:dyDescent="0.75">
      <c r="A149" s="24" t="str">
        <f>IF(N149="W",COUNTIF(N$9:N149,"W"),"")</f>
        <v/>
      </c>
      <c r="B149" s="25"/>
      <c r="C149" s="25"/>
      <c r="D149" s="26"/>
      <c r="E149" s="25"/>
      <c r="F149" s="27"/>
      <c r="G149" s="28"/>
      <c r="H149" s="28"/>
      <c r="I149" s="29" t="str">
        <f t="shared" si="6"/>
        <v/>
      </c>
      <c r="J149" s="30" t="str">
        <f t="shared" si="7"/>
        <v/>
      </c>
      <c r="K149" s="26"/>
      <c r="L149" s="24" t="str">
        <f>IF(N149="","",IF(N149="T","Título de capítulo",IF(OR(ISERROR(F149),ISERROR(G149),ISERROR(H149)),"Error en fórmula: pegá como valores",IF(AND(B149="",$C$6=""),"Falta sector",IF(M149="","Falta capítulo",IF(TRIM(E149)="","Falta unidad",IF(NOT((COUNTIF(Listas!$A$2:$A$40,E149)+COUNTIF(Listas!$D$2:$D$60,E149)&gt;0)),"Unidad no reconocida",IF(AND(F149&lt;&gt;"",NOT(ISNUMBER(F149))),"Cantidad no es número",IF(N(F149)&lt;=0,"Falta cantidad",IF(OR(AND(G149&lt;&gt;"",NOT(ISNUMBER(G149))),AND(H149&lt;&gt;"",NOT(ISNUMBER(H149)))),"Precio no es número",IF(N(G149)+N(H149)&lt;=0,"Falta precio","✓ OK")))))))))))</f>
        <v/>
      </c>
      <c r="M149" t="str">
        <f>IF(N149&lt;&gt;"W","",IF(TRIM(C149)&lt;&gt;"",TRIM(C149),IFERROR(LOOKUP(2,1/(N$9:N149="T"),D$9:D149),"")))</f>
        <v/>
      </c>
      <c r="N149" t="str">
        <f t="shared" si="8"/>
        <v/>
      </c>
      <c r="O149" t="str">
        <f>IF(M149="","",IF(COUNTIF(M$9:M149,M149)=1,MAX(O$8:O148)+1,""))</f>
        <v/>
      </c>
    </row>
    <row r="150" spans="1:15" x14ac:dyDescent="0.75">
      <c r="A150" s="24" t="str">
        <f>IF(N150="W",COUNTIF(N$9:N150,"W"),"")</f>
        <v/>
      </c>
      <c r="B150" s="25"/>
      <c r="C150" s="25"/>
      <c r="D150" s="26"/>
      <c r="E150" s="25"/>
      <c r="F150" s="27"/>
      <c r="G150" s="28"/>
      <c r="H150" s="28"/>
      <c r="I150" s="29" t="str">
        <f t="shared" si="6"/>
        <v/>
      </c>
      <c r="J150" s="30" t="str">
        <f t="shared" si="7"/>
        <v/>
      </c>
      <c r="K150" s="26"/>
      <c r="L150" s="24" t="str">
        <f>IF(N150="","",IF(N150="T","Título de capítulo",IF(OR(ISERROR(F150),ISERROR(G150),ISERROR(H150)),"Error en fórmula: pegá como valores",IF(AND(B150="",$C$6=""),"Falta sector",IF(M150="","Falta capítulo",IF(TRIM(E150)="","Falta unidad",IF(NOT((COUNTIF(Listas!$A$2:$A$40,E150)+COUNTIF(Listas!$D$2:$D$60,E150)&gt;0)),"Unidad no reconocida",IF(AND(F150&lt;&gt;"",NOT(ISNUMBER(F150))),"Cantidad no es número",IF(N(F150)&lt;=0,"Falta cantidad",IF(OR(AND(G150&lt;&gt;"",NOT(ISNUMBER(G150))),AND(H150&lt;&gt;"",NOT(ISNUMBER(H150)))),"Precio no es número",IF(N(G150)+N(H150)&lt;=0,"Falta precio","✓ OK")))))))))))</f>
        <v/>
      </c>
      <c r="M150" t="str">
        <f>IF(N150&lt;&gt;"W","",IF(TRIM(C150)&lt;&gt;"",TRIM(C150),IFERROR(LOOKUP(2,1/(N$9:N150="T"),D$9:D150),"")))</f>
        <v/>
      </c>
      <c r="N150" t="str">
        <f t="shared" si="8"/>
        <v/>
      </c>
      <c r="O150" t="str">
        <f>IF(M150="","",IF(COUNTIF(M$9:M150,M150)=1,MAX(O$8:O149)+1,""))</f>
        <v/>
      </c>
    </row>
    <row r="151" spans="1:15" x14ac:dyDescent="0.75">
      <c r="A151" s="24" t="str">
        <f>IF(N151="W",COUNTIF(N$9:N151,"W"),"")</f>
        <v/>
      </c>
      <c r="B151" s="25"/>
      <c r="C151" s="25"/>
      <c r="D151" s="26"/>
      <c r="E151" s="25"/>
      <c r="F151" s="27"/>
      <c r="G151" s="28"/>
      <c r="H151" s="28"/>
      <c r="I151" s="29" t="str">
        <f t="shared" si="6"/>
        <v/>
      </c>
      <c r="J151" s="30" t="str">
        <f t="shared" si="7"/>
        <v/>
      </c>
      <c r="K151" s="26"/>
      <c r="L151" s="24" t="str">
        <f>IF(N151="","",IF(N151="T","Título de capítulo",IF(OR(ISERROR(F151),ISERROR(G151),ISERROR(H151)),"Error en fórmula: pegá como valores",IF(AND(B151="",$C$6=""),"Falta sector",IF(M151="","Falta capítulo",IF(TRIM(E151)="","Falta unidad",IF(NOT((COUNTIF(Listas!$A$2:$A$40,E151)+COUNTIF(Listas!$D$2:$D$60,E151)&gt;0)),"Unidad no reconocida",IF(AND(F151&lt;&gt;"",NOT(ISNUMBER(F151))),"Cantidad no es número",IF(N(F151)&lt;=0,"Falta cantidad",IF(OR(AND(G151&lt;&gt;"",NOT(ISNUMBER(G151))),AND(H151&lt;&gt;"",NOT(ISNUMBER(H151)))),"Precio no es número",IF(N(G151)+N(H151)&lt;=0,"Falta precio","✓ OK")))))))))))</f>
        <v/>
      </c>
      <c r="M151" t="str">
        <f>IF(N151&lt;&gt;"W","",IF(TRIM(C151)&lt;&gt;"",TRIM(C151),IFERROR(LOOKUP(2,1/(N$9:N151="T"),D$9:D151),"")))</f>
        <v/>
      </c>
      <c r="N151" t="str">
        <f t="shared" si="8"/>
        <v/>
      </c>
      <c r="O151" t="str">
        <f>IF(M151="","",IF(COUNTIF(M$9:M151,M151)=1,MAX(O$8:O150)+1,""))</f>
        <v/>
      </c>
    </row>
    <row r="152" spans="1:15" x14ac:dyDescent="0.75">
      <c r="A152" s="24" t="str">
        <f>IF(N152="W",COUNTIF(N$9:N152,"W"),"")</f>
        <v/>
      </c>
      <c r="B152" s="25"/>
      <c r="C152" s="25"/>
      <c r="D152" s="26"/>
      <c r="E152" s="25"/>
      <c r="F152" s="27"/>
      <c r="G152" s="28"/>
      <c r="H152" s="28"/>
      <c r="I152" s="29" t="str">
        <f t="shared" si="6"/>
        <v/>
      </c>
      <c r="J152" s="30" t="str">
        <f t="shared" si="7"/>
        <v/>
      </c>
      <c r="K152" s="26"/>
      <c r="L152" s="24" t="str">
        <f>IF(N152="","",IF(N152="T","Título de capítulo",IF(OR(ISERROR(F152),ISERROR(G152),ISERROR(H152)),"Error en fórmula: pegá como valores",IF(AND(B152="",$C$6=""),"Falta sector",IF(M152="","Falta capítulo",IF(TRIM(E152)="","Falta unidad",IF(NOT((COUNTIF(Listas!$A$2:$A$40,E152)+COUNTIF(Listas!$D$2:$D$60,E152)&gt;0)),"Unidad no reconocida",IF(AND(F152&lt;&gt;"",NOT(ISNUMBER(F152))),"Cantidad no es número",IF(N(F152)&lt;=0,"Falta cantidad",IF(OR(AND(G152&lt;&gt;"",NOT(ISNUMBER(G152))),AND(H152&lt;&gt;"",NOT(ISNUMBER(H152)))),"Precio no es número",IF(N(G152)+N(H152)&lt;=0,"Falta precio","✓ OK")))))))))))</f>
        <v/>
      </c>
      <c r="M152" t="str">
        <f>IF(N152&lt;&gt;"W","",IF(TRIM(C152)&lt;&gt;"",TRIM(C152),IFERROR(LOOKUP(2,1/(N$9:N152="T"),D$9:D152),"")))</f>
        <v/>
      </c>
      <c r="N152" t="str">
        <f t="shared" si="8"/>
        <v/>
      </c>
      <c r="O152" t="str">
        <f>IF(M152="","",IF(COUNTIF(M$9:M152,M152)=1,MAX(O$8:O151)+1,""))</f>
        <v/>
      </c>
    </row>
    <row r="153" spans="1:15" x14ac:dyDescent="0.75">
      <c r="A153" s="24" t="str">
        <f>IF(N153="W",COUNTIF(N$9:N153,"W"),"")</f>
        <v/>
      </c>
      <c r="B153" s="25"/>
      <c r="C153" s="25"/>
      <c r="D153" s="26"/>
      <c r="E153" s="25"/>
      <c r="F153" s="27"/>
      <c r="G153" s="28"/>
      <c r="H153" s="28"/>
      <c r="I153" s="29" t="str">
        <f t="shared" si="6"/>
        <v/>
      </c>
      <c r="J153" s="30" t="str">
        <f t="shared" si="7"/>
        <v/>
      </c>
      <c r="K153" s="26"/>
      <c r="L153" s="24" t="str">
        <f>IF(N153="","",IF(N153="T","Título de capítulo",IF(OR(ISERROR(F153),ISERROR(G153),ISERROR(H153)),"Error en fórmula: pegá como valores",IF(AND(B153="",$C$6=""),"Falta sector",IF(M153="","Falta capítulo",IF(TRIM(E153)="","Falta unidad",IF(NOT((COUNTIF(Listas!$A$2:$A$40,E153)+COUNTIF(Listas!$D$2:$D$60,E153)&gt;0)),"Unidad no reconocida",IF(AND(F153&lt;&gt;"",NOT(ISNUMBER(F153))),"Cantidad no es número",IF(N(F153)&lt;=0,"Falta cantidad",IF(OR(AND(G153&lt;&gt;"",NOT(ISNUMBER(G153))),AND(H153&lt;&gt;"",NOT(ISNUMBER(H153)))),"Precio no es número",IF(N(G153)+N(H153)&lt;=0,"Falta precio","✓ OK")))))))))))</f>
        <v/>
      </c>
      <c r="M153" t="str">
        <f>IF(N153&lt;&gt;"W","",IF(TRIM(C153)&lt;&gt;"",TRIM(C153),IFERROR(LOOKUP(2,1/(N$9:N153="T"),D$9:D153),"")))</f>
        <v/>
      </c>
      <c r="N153" t="str">
        <f t="shared" si="8"/>
        <v/>
      </c>
      <c r="O153" t="str">
        <f>IF(M153="","",IF(COUNTIF(M$9:M153,M153)=1,MAX(O$8:O152)+1,""))</f>
        <v/>
      </c>
    </row>
    <row r="154" spans="1:15" x14ac:dyDescent="0.75">
      <c r="A154" s="24" t="str">
        <f>IF(N154="W",COUNTIF(N$9:N154,"W"),"")</f>
        <v/>
      </c>
      <c r="B154" s="25"/>
      <c r="C154" s="25"/>
      <c r="D154" s="26"/>
      <c r="E154" s="25"/>
      <c r="F154" s="27"/>
      <c r="G154" s="28"/>
      <c r="H154" s="28"/>
      <c r="I154" s="29" t="str">
        <f t="shared" si="6"/>
        <v/>
      </c>
      <c r="J154" s="30" t="str">
        <f t="shared" si="7"/>
        <v/>
      </c>
      <c r="K154" s="26"/>
      <c r="L154" s="24" t="str">
        <f>IF(N154="","",IF(N154="T","Título de capítulo",IF(OR(ISERROR(F154),ISERROR(G154),ISERROR(H154)),"Error en fórmula: pegá como valores",IF(AND(B154="",$C$6=""),"Falta sector",IF(M154="","Falta capítulo",IF(TRIM(E154)="","Falta unidad",IF(NOT((COUNTIF(Listas!$A$2:$A$40,E154)+COUNTIF(Listas!$D$2:$D$60,E154)&gt;0)),"Unidad no reconocida",IF(AND(F154&lt;&gt;"",NOT(ISNUMBER(F154))),"Cantidad no es número",IF(N(F154)&lt;=0,"Falta cantidad",IF(OR(AND(G154&lt;&gt;"",NOT(ISNUMBER(G154))),AND(H154&lt;&gt;"",NOT(ISNUMBER(H154)))),"Precio no es número",IF(N(G154)+N(H154)&lt;=0,"Falta precio","✓ OK")))))))))))</f>
        <v/>
      </c>
      <c r="M154" t="str">
        <f>IF(N154&lt;&gt;"W","",IF(TRIM(C154)&lt;&gt;"",TRIM(C154),IFERROR(LOOKUP(2,1/(N$9:N154="T"),D$9:D154),"")))</f>
        <v/>
      </c>
      <c r="N154" t="str">
        <f t="shared" si="8"/>
        <v/>
      </c>
      <c r="O154" t="str">
        <f>IF(M154="","",IF(COUNTIF(M$9:M154,M154)=1,MAX(O$8:O153)+1,""))</f>
        <v/>
      </c>
    </row>
    <row r="155" spans="1:15" x14ac:dyDescent="0.75">
      <c r="A155" s="24" t="str">
        <f>IF(N155="W",COUNTIF(N$9:N155,"W"),"")</f>
        <v/>
      </c>
      <c r="B155" s="25"/>
      <c r="C155" s="25"/>
      <c r="D155" s="26"/>
      <c r="E155" s="25"/>
      <c r="F155" s="27"/>
      <c r="G155" s="28"/>
      <c r="H155" s="28"/>
      <c r="I155" s="29" t="str">
        <f t="shared" si="6"/>
        <v/>
      </c>
      <c r="J155" s="30" t="str">
        <f t="shared" si="7"/>
        <v/>
      </c>
      <c r="K155" s="26"/>
      <c r="L155" s="24" t="str">
        <f>IF(N155="","",IF(N155="T","Título de capítulo",IF(OR(ISERROR(F155),ISERROR(G155),ISERROR(H155)),"Error en fórmula: pegá como valores",IF(AND(B155="",$C$6=""),"Falta sector",IF(M155="","Falta capítulo",IF(TRIM(E155)="","Falta unidad",IF(NOT((COUNTIF(Listas!$A$2:$A$40,E155)+COUNTIF(Listas!$D$2:$D$60,E155)&gt;0)),"Unidad no reconocida",IF(AND(F155&lt;&gt;"",NOT(ISNUMBER(F155))),"Cantidad no es número",IF(N(F155)&lt;=0,"Falta cantidad",IF(OR(AND(G155&lt;&gt;"",NOT(ISNUMBER(G155))),AND(H155&lt;&gt;"",NOT(ISNUMBER(H155)))),"Precio no es número",IF(N(G155)+N(H155)&lt;=0,"Falta precio","✓ OK")))))))))))</f>
        <v/>
      </c>
      <c r="M155" t="str">
        <f>IF(N155&lt;&gt;"W","",IF(TRIM(C155)&lt;&gt;"",TRIM(C155),IFERROR(LOOKUP(2,1/(N$9:N155="T"),D$9:D155),"")))</f>
        <v/>
      </c>
      <c r="N155" t="str">
        <f t="shared" si="8"/>
        <v/>
      </c>
      <c r="O155" t="str">
        <f>IF(M155="","",IF(COUNTIF(M$9:M155,M155)=1,MAX(O$8:O154)+1,""))</f>
        <v/>
      </c>
    </row>
    <row r="156" spans="1:15" x14ac:dyDescent="0.75">
      <c r="A156" s="24" t="str">
        <f>IF(N156="W",COUNTIF(N$9:N156,"W"),"")</f>
        <v/>
      </c>
      <c r="B156" s="25"/>
      <c r="C156" s="25"/>
      <c r="D156" s="26"/>
      <c r="E156" s="25"/>
      <c r="F156" s="27"/>
      <c r="G156" s="28"/>
      <c r="H156" s="28"/>
      <c r="I156" s="29" t="str">
        <f t="shared" si="6"/>
        <v/>
      </c>
      <c r="J156" s="30" t="str">
        <f t="shared" si="7"/>
        <v/>
      </c>
      <c r="K156" s="26"/>
      <c r="L156" s="24" t="str">
        <f>IF(N156="","",IF(N156="T","Título de capítulo",IF(OR(ISERROR(F156),ISERROR(G156),ISERROR(H156)),"Error en fórmula: pegá como valores",IF(AND(B156="",$C$6=""),"Falta sector",IF(M156="","Falta capítulo",IF(TRIM(E156)="","Falta unidad",IF(NOT((COUNTIF(Listas!$A$2:$A$40,E156)+COUNTIF(Listas!$D$2:$D$60,E156)&gt;0)),"Unidad no reconocida",IF(AND(F156&lt;&gt;"",NOT(ISNUMBER(F156))),"Cantidad no es número",IF(N(F156)&lt;=0,"Falta cantidad",IF(OR(AND(G156&lt;&gt;"",NOT(ISNUMBER(G156))),AND(H156&lt;&gt;"",NOT(ISNUMBER(H156)))),"Precio no es número",IF(N(G156)+N(H156)&lt;=0,"Falta precio","✓ OK")))))))))))</f>
        <v/>
      </c>
      <c r="M156" t="str">
        <f>IF(N156&lt;&gt;"W","",IF(TRIM(C156)&lt;&gt;"",TRIM(C156),IFERROR(LOOKUP(2,1/(N$9:N156="T"),D$9:D156),"")))</f>
        <v/>
      </c>
      <c r="N156" t="str">
        <f t="shared" si="8"/>
        <v/>
      </c>
      <c r="O156" t="str">
        <f>IF(M156="","",IF(COUNTIF(M$9:M156,M156)=1,MAX(O$8:O155)+1,""))</f>
        <v/>
      </c>
    </row>
    <row r="157" spans="1:15" x14ac:dyDescent="0.75">
      <c r="A157" s="24" t="str">
        <f>IF(N157="W",COUNTIF(N$9:N157,"W"),"")</f>
        <v/>
      </c>
      <c r="B157" s="25"/>
      <c r="C157" s="25"/>
      <c r="D157" s="26"/>
      <c r="E157" s="25"/>
      <c r="F157" s="27"/>
      <c r="G157" s="28"/>
      <c r="H157" s="28"/>
      <c r="I157" s="29" t="str">
        <f t="shared" si="6"/>
        <v/>
      </c>
      <c r="J157" s="30" t="str">
        <f t="shared" si="7"/>
        <v/>
      </c>
      <c r="K157" s="26"/>
      <c r="L157" s="24" t="str">
        <f>IF(N157="","",IF(N157="T","Título de capítulo",IF(OR(ISERROR(F157),ISERROR(G157),ISERROR(H157)),"Error en fórmula: pegá como valores",IF(AND(B157="",$C$6=""),"Falta sector",IF(M157="","Falta capítulo",IF(TRIM(E157)="","Falta unidad",IF(NOT((COUNTIF(Listas!$A$2:$A$40,E157)+COUNTIF(Listas!$D$2:$D$60,E157)&gt;0)),"Unidad no reconocida",IF(AND(F157&lt;&gt;"",NOT(ISNUMBER(F157))),"Cantidad no es número",IF(N(F157)&lt;=0,"Falta cantidad",IF(OR(AND(G157&lt;&gt;"",NOT(ISNUMBER(G157))),AND(H157&lt;&gt;"",NOT(ISNUMBER(H157)))),"Precio no es número",IF(N(G157)+N(H157)&lt;=0,"Falta precio","✓ OK")))))))))))</f>
        <v/>
      </c>
      <c r="M157" t="str">
        <f>IF(N157&lt;&gt;"W","",IF(TRIM(C157)&lt;&gt;"",TRIM(C157),IFERROR(LOOKUP(2,1/(N$9:N157="T"),D$9:D157),"")))</f>
        <v/>
      </c>
      <c r="N157" t="str">
        <f t="shared" si="8"/>
        <v/>
      </c>
      <c r="O157" t="str">
        <f>IF(M157="","",IF(COUNTIF(M$9:M157,M157)=1,MAX(O$8:O156)+1,""))</f>
        <v/>
      </c>
    </row>
    <row r="158" spans="1:15" x14ac:dyDescent="0.75">
      <c r="A158" s="24" t="str">
        <f>IF(N158="W",COUNTIF(N$9:N158,"W"),"")</f>
        <v/>
      </c>
      <c r="B158" s="25"/>
      <c r="C158" s="25"/>
      <c r="D158" s="26"/>
      <c r="E158" s="25"/>
      <c r="F158" s="27"/>
      <c r="G158" s="28"/>
      <c r="H158" s="28"/>
      <c r="I158" s="29" t="str">
        <f t="shared" si="6"/>
        <v/>
      </c>
      <c r="J158" s="30" t="str">
        <f t="shared" si="7"/>
        <v/>
      </c>
      <c r="K158" s="26"/>
      <c r="L158" s="24" t="str">
        <f>IF(N158="","",IF(N158="T","Título de capítulo",IF(OR(ISERROR(F158),ISERROR(G158),ISERROR(H158)),"Error en fórmula: pegá como valores",IF(AND(B158="",$C$6=""),"Falta sector",IF(M158="","Falta capítulo",IF(TRIM(E158)="","Falta unidad",IF(NOT((COUNTIF(Listas!$A$2:$A$40,E158)+COUNTIF(Listas!$D$2:$D$60,E158)&gt;0)),"Unidad no reconocida",IF(AND(F158&lt;&gt;"",NOT(ISNUMBER(F158))),"Cantidad no es número",IF(N(F158)&lt;=0,"Falta cantidad",IF(OR(AND(G158&lt;&gt;"",NOT(ISNUMBER(G158))),AND(H158&lt;&gt;"",NOT(ISNUMBER(H158)))),"Precio no es número",IF(N(G158)+N(H158)&lt;=0,"Falta precio","✓ OK")))))))))))</f>
        <v/>
      </c>
      <c r="M158" t="str">
        <f>IF(N158&lt;&gt;"W","",IF(TRIM(C158)&lt;&gt;"",TRIM(C158),IFERROR(LOOKUP(2,1/(N$9:N158="T"),D$9:D158),"")))</f>
        <v/>
      </c>
      <c r="N158" t="str">
        <f t="shared" si="8"/>
        <v/>
      </c>
      <c r="O158" t="str">
        <f>IF(M158="","",IF(COUNTIF(M$9:M158,M158)=1,MAX(O$8:O157)+1,""))</f>
        <v/>
      </c>
    </row>
    <row r="159" spans="1:15" x14ac:dyDescent="0.75">
      <c r="A159" s="24" t="str">
        <f>IF(N159="W",COUNTIF(N$9:N159,"W"),"")</f>
        <v/>
      </c>
      <c r="B159" s="25"/>
      <c r="C159" s="25"/>
      <c r="D159" s="26"/>
      <c r="E159" s="25"/>
      <c r="F159" s="27"/>
      <c r="G159" s="28"/>
      <c r="H159" s="28"/>
      <c r="I159" s="29" t="str">
        <f t="shared" si="6"/>
        <v/>
      </c>
      <c r="J159" s="30" t="str">
        <f t="shared" si="7"/>
        <v/>
      </c>
      <c r="K159" s="26"/>
      <c r="L159" s="24" t="str">
        <f>IF(N159="","",IF(N159="T","Título de capítulo",IF(OR(ISERROR(F159),ISERROR(G159),ISERROR(H159)),"Error en fórmula: pegá como valores",IF(AND(B159="",$C$6=""),"Falta sector",IF(M159="","Falta capítulo",IF(TRIM(E159)="","Falta unidad",IF(NOT((COUNTIF(Listas!$A$2:$A$40,E159)+COUNTIF(Listas!$D$2:$D$60,E159)&gt;0)),"Unidad no reconocida",IF(AND(F159&lt;&gt;"",NOT(ISNUMBER(F159))),"Cantidad no es número",IF(N(F159)&lt;=0,"Falta cantidad",IF(OR(AND(G159&lt;&gt;"",NOT(ISNUMBER(G159))),AND(H159&lt;&gt;"",NOT(ISNUMBER(H159)))),"Precio no es número",IF(N(G159)+N(H159)&lt;=0,"Falta precio","✓ OK")))))))))))</f>
        <v/>
      </c>
      <c r="M159" t="str">
        <f>IF(N159&lt;&gt;"W","",IF(TRIM(C159)&lt;&gt;"",TRIM(C159),IFERROR(LOOKUP(2,1/(N$9:N159="T"),D$9:D159),"")))</f>
        <v/>
      </c>
      <c r="N159" t="str">
        <f t="shared" si="8"/>
        <v/>
      </c>
      <c r="O159" t="str">
        <f>IF(M159="","",IF(COUNTIF(M$9:M159,M159)=1,MAX(O$8:O158)+1,""))</f>
        <v/>
      </c>
    </row>
    <row r="160" spans="1:15" x14ac:dyDescent="0.75">
      <c r="A160" s="24" t="str">
        <f>IF(N160="W",COUNTIF(N$9:N160,"W"),"")</f>
        <v/>
      </c>
      <c r="B160" s="25"/>
      <c r="C160" s="25"/>
      <c r="D160" s="26"/>
      <c r="E160" s="25"/>
      <c r="F160" s="27"/>
      <c r="G160" s="28"/>
      <c r="H160" s="28"/>
      <c r="I160" s="29" t="str">
        <f t="shared" si="6"/>
        <v/>
      </c>
      <c r="J160" s="30" t="str">
        <f t="shared" si="7"/>
        <v/>
      </c>
      <c r="K160" s="26"/>
      <c r="L160" s="24" t="str">
        <f>IF(N160="","",IF(N160="T","Título de capítulo",IF(OR(ISERROR(F160),ISERROR(G160),ISERROR(H160)),"Error en fórmula: pegá como valores",IF(AND(B160="",$C$6=""),"Falta sector",IF(M160="","Falta capítulo",IF(TRIM(E160)="","Falta unidad",IF(NOT((COUNTIF(Listas!$A$2:$A$40,E160)+COUNTIF(Listas!$D$2:$D$60,E160)&gt;0)),"Unidad no reconocida",IF(AND(F160&lt;&gt;"",NOT(ISNUMBER(F160))),"Cantidad no es número",IF(N(F160)&lt;=0,"Falta cantidad",IF(OR(AND(G160&lt;&gt;"",NOT(ISNUMBER(G160))),AND(H160&lt;&gt;"",NOT(ISNUMBER(H160)))),"Precio no es número",IF(N(G160)+N(H160)&lt;=0,"Falta precio","✓ OK")))))))))))</f>
        <v/>
      </c>
      <c r="M160" t="str">
        <f>IF(N160&lt;&gt;"W","",IF(TRIM(C160)&lt;&gt;"",TRIM(C160),IFERROR(LOOKUP(2,1/(N$9:N160="T"),D$9:D160),"")))</f>
        <v/>
      </c>
      <c r="N160" t="str">
        <f t="shared" si="8"/>
        <v/>
      </c>
      <c r="O160" t="str">
        <f>IF(M160="","",IF(COUNTIF(M$9:M160,M160)=1,MAX(O$8:O159)+1,""))</f>
        <v/>
      </c>
    </row>
    <row r="161" spans="1:15" x14ac:dyDescent="0.75">
      <c r="A161" s="24" t="str">
        <f>IF(N161="W",COUNTIF(N$9:N161,"W"),"")</f>
        <v/>
      </c>
      <c r="B161" s="25"/>
      <c r="C161" s="25"/>
      <c r="D161" s="26"/>
      <c r="E161" s="25"/>
      <c r="F161" s="27"/>
      <c r="G161" s="28"/>
      <c r="H161" s="28"/>
      <c r="I161" s="29" t="str">
        <f t="shared" si="6"/>
        <v/>
      </c>
      <c r="J161" s="30" t="str">
        <f t="shared" si="7"/>
        <v/>
      </c>
      <c r="K161" s="26"/>
      <c r="L161" s="24" t="str">
        <f>IF(N161="","",IF(N161="T","Título de capítulo",IF(OR(ISERROR(F161),ISERROR(G161),ISERROR(H161)),"Error en fórmula: pegá como valores",IF(AND(B161="",$C$6=""),"Falta sector",IF(M161="","Falta capítulo",IF(TRIM(E161)="","Falta unidad",IF(NOT((COUNTIF(Listas!$A$2:$A$40,E161)+COUNTIF(Listas!$D$2:$D$60,E161)&gt;0)),"Unidad no reconocida",IF(AND(F161&lt;&gt;"",NOT(ISNUMBER(F161))),"Cantidad no es número",IF(N(F161)&lt;=0,"Falta cantidad",IF(OR(AND(G161&lt;&gt;"",NOT(ISNUMBER(G161))),AND(H161&lt;&gt;"",NOT(ISNUMBER(H161)))),"Precio no es número",IF(N(G161)+N(H161)&lt;=0,"Falta precio","✓ OK")))))))))))</f>
        <v/>
      </c>
      <c r="M161" t="str">
        <f>IF(N161&lt;&gt;"W","",IF(TRIM(C161)&lt;&gt;"",TRIM(C161),IFERROR(LOOKUP(2,1/(N$9:N161="T"),D$9:D161),"")))</f>
        <v/>
      </c>
      <c r="N161" t="str">
        <f t="shared" si="8"/>
        <v/>
      </c>
      <c r="O161" t="str">
        <f>IF(M161="","",IF(COUNTIF(M$9:M161,M161)=1,MAX(O$8:O160)+1,""))</f>
        <v/>
      </c>
    </row>
    <row r="162" spans="1:15" x14ac:dyDescent="0.75">
      <c r="A162" s="24" t="str">
        <f>IF(N162="W",COUNTIF(N$9:N162,"W"),"")</f>
        <v/>
      </c>
      <c r="B162" s="25"/>
      <c r="C162" s="25"/>
      <c r="D162" s="26"/>
      <c r="E162" s="25"/>
      <c r="F162" s="27"/>
      <c r="G162" s="28"/>
      <c r="H162" s="28"/>
      <c r="I162" s="29" t="str">
        <f t="shared" si="6"/>
        <v/>
      </c>
      <c r="J162" s="30" t="str">
        <f t="shared" si="7"/>
        <v/>
      </c>
      <c r="K162" s="26"/>
      <c r="L162" s="24" t="str">
        <f>IF(N162="","",IF(N162="T","Título de capítulo",IF(OR(ISERROR(F162),ISERROR(G162),ISERROR(H162)),"Error en fórmula: pegá como valores",IF(AND(B162="",$C$6=""),"Falta sector",IF(M162="","Falta capítulo",IF(TRIM(E162)="","Falta unidad",IF(NOT((COUNTIF(Listas!$A$2:$A$40,E162)+COUNTIF(Listas!$D$2:$D$60,E162)&gt;0)),"Unidad no reconocida",IF(AND(F162&lt;&gt;"",NOT(ISNUMBER(F162))),"Cantidad no es número",IF(N(F162)&lt;=0,"Falta cantidad",IF(OR(AND(G162&lt;&gt;"",NOT(ISNUMBER(G162))),AND(H162&lt;&gt;"",NOT(ISNUMBER(H162)))),"Precio no es número",IF(N(G162)+N(H162)&lt;=0,"Falta precio","✓ OK")))))))))))</f>
        <v/>
      </c>
      <c r="M162" t="str">
        <f>IF(N162&lt;&gt;"W","",IF(TRIM(C162)&lt;&gt;"",TRIM(C162),IFERROR(LOOKUP(2,1/(N$9:N162="T"),D$9:D162),"")))</f>
        <v/>
      </c>
      <c r="N162" t="str">
        <f t="shared" si="8"/>
        <v/>
      </c>
      <c r="O162" t="str">
        <f>IF(M162="","",IF(COUNTIF(M$9:M162,M162)=1,MAX(O$8:O161)+1,""))</f>
        <v/>
      </c>
    </row>
    <row r="163" spans="1:15" x14ac:dyDescent="0.75">
      <c r="A163" s="24" t="str">
        <f>IF(N163="W",COUNTIF(N$9:N163,"W"),"")</f>
        <v/>
      </c>
      <c r="B163" s="25"/>
      <c r="C163" s="25"/>
      <c r="D163" s="26"/>
      <c r="E163" s="25"/>
      <c r="F163" s="27"/>
      <c r="G163" s="28"/>
      <c r="H163" s="28"/>
      <c r="I163" s="29" t="str">
        <f t="shared" si="6"/>
        <v/>
      </c>
      <c r="J163" s="30" t="str">
        <f t="shared" si="7"/>
        <v/>
      </c>
      <c r="K163" s="26"/>
      <c r="L163" s="24" t="str">
        <f>IF(N163="","",IF(N163="T","Título de capítulo",IF(OR(ISERROR(F163),ISERROR(G163),ISERROR(H163)),"Error en fórmula: pegá como valores",IF(AND(B163="",$C$6=""),"Falta sector",IF(M163="","Falta capítulo",IF(TRIM(E163)="","Falta unidad",IF(NOT((COUNTIF(Listas!$A$2:$A$40,E163)+COUNTIF(Listas!$D$2:$D$60,E163)&gt;0)),"Unidad no reconocida",IF(AND(F163&lt;&gt;"",NOT(ISNUMBER(F163))),"Cantidad no es número",IF(N(F163)&lt;=0,"Falta cantidad",IF(OR(AND(G163&lt;&gt;"",NOT(ISNUMBER(G163))),AND(H163&lt;&gt;"",NOT(ISNUMBER(H163)))),"Precio no es número",IF(N(G163)+N(H163)&lt;=0,"Falta precio","✓ OK")))))))))))</f>
        <v/>
      </c>
      <c r="M163" t="str">
        <f>IF(N163&lt;&gt;"W","",IF(TRIM(C163)&lt;&gt;"",TRIM(C163),IFERROR(LOOKUP(2,1/(N$9:N163="T"),D$9:D163),"")))</f>
        <v/>
      </c>
      <c r="N163" t="str">
        <f t="shared" si="8"/>
        <v/>
      </c>
      <c r="O163" t="str">
        <f>IF(M163="","",IF(COUNTIF(M$9:M163,M163)=1,MAX(O$8:O162)+1,""))</f>
        <v/>
      </c>
    </row>
    <row r="164" spans="1:15" x14ac:dyDescent="0.75">
      <c r="A164" s="24" t="str">
        <f>IF(N164="W",COUNTIF(N$9:N164,"W"),"")</f>
        <v/>
      </c>
      <c r="B164" s="25"/>
      <c r="C164" s="25"/>
      <c r="D164" s="26"/>
      <c r="E164" s="25"/>
      <c r="F164" s="27"/>
      <c r="G164" s="28"/>
      <c r="H164" s="28"/>
      <c r="I164" s="29" t="str">
        <f t="shared" si="6"/>
        <v/>
      </c>
      <c r="J164" s="30" t="str">
        <f t="shared" si="7"/>
        <v/>
      </c>
      <c r="K164" s="26"/>
      <c r="L164" s="24" t="str">
        <f>IF(N164="","",IF(N164="T","Título de capítulo",IF(OR(ISERROR(F164),ISERROR(G164),ISERROR(H164)),"Error en fórmula: pegá como valores",IF(AND(B164="",$C$6=""),"Falta sector",IF(M164="","Falta capítulo",IF(TRIM(E164)="","Falta unidad",IF(NOT((COUNTIF(Listas!$A$2:$A$40,E164)+COUNTIF(Listas!$D$2:$D$60,E164)&gt;0)),"Unidad no reconocida",IF(AND(F164&lt;&gt;"",NOT(ISNUMBER(F164))),"Cantidad no es número",IF(N(F164)&lt;=0,"Falta cantidad",IF(OR(AND(G164&lt;&gt;"",NOT(ISNUMBER(G164))),AND(H164&lt;&gt;"",NOT(ISNUMBER(H164)))),"Precio no es número",IF(N(G164)+N(H164)&lt;=0,"Falta precio","✓ OK")))))))))))</f>
        <v/>
      </c>
      <c r="M164" t="str">
        <f>IF(N164&lt;&gt;"W","",IF(TRIM(C164)&lt;&gt;"",TRIM(C164),IFERROR(LOOKUP(2,1/(N$9:N164="T"),D$9:D164),"")))</f>
        <v/>
      </c>
      <c r="N164" t="str">
        <f t="shared" si="8"/>
        <v/>
      </c>
      <c r="O164" t="str">
        <f>IF(M164="","",IF(COUNTIF(M$9:M164,M164)=1,MAX(O$8:O163)+1,""))</f>
        <v/>
      </c>
    </row>
    <row r="165" spans="1:15" x14ac:dyDescent="0.75">
      <c r="A165" s="24" t="str">
        <f>IF(N165="W",COUNTIF(N$9:N165,"W"),"")</f>
        <v/>
      </c>
      <c r="B165" s="25"/>
      <c r="C165" s="25"/>
      <c r="D165" s="26"/>
      <c r="E165" s="25"/>
      <c r="F165" s="27"/>
      <c r="G165" s="28"/>
      <c r="H165" s="28"/>
      <c r="I165" s="29" t="str">
        <f t="shared" si="6"/>
        <v/>
      </c>
      <c r="J165" s="30" t="str">
        <f t="shared" si="7"/>
        <v/>
      </c>
      <c r="K165" s="26"/>
      <c r="L165" s="24" t="str">
        <f>IF(N165="","",IF(N165="T","Título de capítulo",IF(OR(ISERROR(F165),ISERROR(G165),ISERROR(H165)),"Error en fórmula: pegá como valores",IF(AND(B165="",$C$6=""),"Falta sector",IF(M165="","Falta capítulo",IF(TRIM(E165)="","Falta unidad",IF(NOT((COUNTIF(Listas!$A$2:$A$40,E165)+COUNTIF(Listas!$D$2:$D$60,E165)&gt;0)),"Unidad no reconocida",IF(AND(F165&lt;&gt;"",NOT(ISNUMBER(F165))),"Cantidad no es número",IF(N(F165)&lt;=0,"Falta cantidad",IF(OR(AND(G165&lt;&gt;"",NOT(ISNUMBER(G165))),AND(H165&lt;&gt;"",NOT(ISNUMBER(H165)))),"Precio no es número",IF(N(G165)+N(H165)&lt;=0,"Falta precio","✓ OK")))))))))))</f>
        <v/>
      </c>
      <c r="M165" t="str">
        <f>IF(N165&lt;&gt;"W","",IF(TRIM(C165)&lt;&gt;"",TRIM(C165),IFERROR(LOOKUP(2,1/(N$9:N165="T"),D$9:D165),"")))</f>
        <v/>
      </c>
      <c r="N165" t="str">
        <f t="shared" si="8"/>
        <v/>
      </c>
      <c r="O165" t="str">
        <f>IF(M165="","",IF(COUNTIF(M$9:M165,M165)=1,MAX(O$8:O164)+1,""))</f>
        <v/>
      </c>
    </row>
    <row r="166" spans="1:15" x14ac:dyDescent="0.75">
      <c r="A166" s="24" t="str">
        <f>IF(N166="W",COUNTIF(N$9:N166,"W"),"")</f>
        <v/>
      </c>
      <c r="B166" s="25"/>
      <c r="C166" s="25"/>
      <c r="D166" s="26"/>
      <c r="E166" s="25"/>
      <c r="F166" s="27"/>
      <c r="G166" s="28"/>
      <c r="H166" s="28"/>
      <c r="I166" s="29" t="str">
        <f t="shared" si="6"/>
        <v/>
      </c>
      <c r="J166" s="30" t="str">
        <f t="shared" si="7"/>
        <v/>
      </c>
      <c r="K166" s="26"/>
      <c r="L166" s="24" t="str">
        <f>IF(N166="","",IF(N166="T","Título de capítulo",IF(OR(ISERROR(F166),ISERROR(G166),ISERROR(H166)),"Error en fórmula: pegá como valores",IF(AND(B166="",$C$6=""),"Falta sector",IF(M166="","Falta capítulo",IF(TRIM(E166)="","Falta unidad",IF(NOT((COUNTIF(Listas!$A$2:$A$40,E166)+COUNTIF(Listas!$D$2:$D$60,E166)&gt;0)),"Unidad no reconocida",IF(AND(F166&lt;&gt;"",NOT(ISNUMBER(F166))),"Cantidad no es número",IF(N(F166)&lt;=0,"Falta cantidad",IF(OR(AND(G166&lt;&gt;"",NOT(ISNUMBER(G166))),AND(H166&lt;&gt;"",NOT(ISNUMBER(H166)))),"Precio no es número",IF(N(G166)+N(H166)&lt;=0,"Falta precio","✓ OK")))))))))))</f>
        <v/>
      </c>
      <c r="M166" t="str">
        <f>IF(N166&lt;&gt;"W","",IF(TRIM(C166)&lt;&gt;"",TRIM(C166),IFERROR(LOOKUP(2,1/(N$9:N166="T"),D$9:D166),"")))</f>
        <v/>
      </c>
      <c r="N166" t="str">
        <f t="shared" si="8"/>
        <v/>
      </c>
      <c r="O166" t="str">
        <f>IF(M166="","",IF(COUNTIF(M$9:M166,M166)=1,MAX(O$8:O165)+1,""))</f>
        <v/>
      </c>
    </row>
    <row r="167" spans="1:15" x14ac:dyDescent="0.75">
      <c r="A167" s="24" t="str">
        <f>IF(N167="W",COUNTIF(N$9:N167,"W"),"")</f>
        <v/>
      </c>
      <c r="B167" s="25"/>
      <c r="C167" s="25"/>
      <c r="D167" s="26"/>
      <c r="E167" s="25"/>
      <c r="F167" s="27"/>
      <c r="G167" s="28"/>
      <c r="H167" s="28"/>
      <c r="I167" s="29" t="str">
        <f t="shared" si="6"/>
        <v/>
      </c>
      <c r="J167" s="30" t="str">
        <f t="shared" si="7"/>
        <v/>
      </c>
      <c r="K167" s="26"/>
      <c r="L167" s="24" t="str">
        <f>IF(N167="","",IF(N167="T","Título de capítulo",IF(OR(ISERROR(F167),ISERROR(G167),ISERROR(H167)),"Error en fórmula: pegá como valores",IF(AND(B167="",$C$6=""),"Falta sector",IF(M167="","Falta capítulo",IF(TRIM(E167)="","Falta unidad",IF(NOT((COUNTIF(Listas!$A$2:$A$40,E167)+COUNTIF(Listas!$D$2:$D$60,E167)&gt;0)),"Unidad no reconocida",IF(AND(F167&lt;&gt;"",NOT(ISNUMBER(F167))),"Cantidad no es número",IF(N(F167)&lt;=0,"Falta cantidad",IF(OR(AND(G167&lt;&gt;"",NOT(ISNUMBER(G167))),AND(H167&lt;&gt;"",NOT(ISNUMBER(H167)))),"Precio no es número",IF(N(G167)+N(H167)&lt;=0,"Falta precio","✓ OK")))))))))))</f>
        <v/>
      </c>
      <c r="M167" t="str">
        <f>IF(N167&lt;&gt;"W","",IF(TRIM(C167)&lt;&gt;"",TRIM(C167),IFERROR(LOOKUP(2,1/(N$9:N167="T"),D$9:D167),"")))</f>
        <v/>
      </c>
      <c r="N167" t="str">
        <f t="shared" si="8"/>
        <v/>
      </c>
      <c r="O167" t="str">
        <f>IF(M167="","",IF(COUNTIF(M$9:M167,M167)=1,MAX(O$8:O166)+1,""))</f>
        <v/>
      </c>
    </row>
    <row r="168" spans="1:15" x14ac:dyDescent="0.75">
      <c r="A168" s="24" t="str">
        <f>IF(N168="W",COUNTIF(N$9:N168,"W"),"")</f>
        <v/>
      </c>
      <c r="B168" s="25"/>
      <c r="C168" s="25"/>
      <c r="D168" s="26"/>
      <c r="E168" s="25"/>
      <c r="F168" s="27"/>
      <c r="G168" s="28"/>
      <c r="H168" s="28"/>
      <c r="I168" s="29" t="str">
        <f t="shared" si="6"/>
        <v/>
      </c>
      <c r="J168" s="30" t="str">
        <f t="shared" si="7"/>
        <v/>
      </c>
      <c r="K168" s="26"/>
      <c r="L168" s="24" t="str">
        <f>IF(N168="","",IF(N168="T","Título de capítulo",IF(OR(ISERROR(F168),ISERROR(G168),ISERROR(H168)),"Error en fórmula: pegá como valores",IF(AND(B168="",$C$6=""),"Falta sector",IF(M168="","Falta capítulo",IF(TRIM(E168)="","Falta unidad",IF(NOT((COUNTIF(Listas!$A$2:$A$40,E168)+COUNTIF(Listas!$D$2:$D$60,E168)&gt;0)),"Unidad no reconocida",IF(AND(F168&lt;&gt;"",NOT(ISNUMBER(F168))),"Cantidad no es número",IF(N(F168)&lt;=0,"Falta cantidad",IF(OR(AND(G168&lt;&gt;"",NOT(ISNUMBER(G168))),AND(H168&lt;&gt;"",NOT(ISNUMBER(H168)))),"Precio no es número",IF(N(G168)+N(H168)&lt;=0,"Falta precio","✓ OK")))))))))))</f>
        <v/>
      </c>
      <c r="M168" t="str">
        <f>IF(N168&lt;&gt;"W","",IF(TRIM(C168)&lt;&gt;"",TRIM(C168),IFERROR(LOOKUP(2,1/(N$9:N168="T"),D$9:D168),"")))</f>
        <v/>
      </c>
      <c r="N168" t="str">
        <f t="shared" si="8"/>
        <v/>
      </c>
      <c r="O168" t="str">
        <f>IF(M168="","",IF(COUNTIF(M$9:M168,M168)=1,MAX(O$8:O167)+1,""))</f>
        <v/>
      </c>
    </row>
    <row r="169" spans="1:15" x14ac:dyDescent="0.75">
      <c r="A169" s="24" t="str">
        <f>IF(N169="W",COUNTIF(N$9:N169,"W"),"")</f>
        <v/>
      </c>
      <c r="B169" s="25"/>
      <c r="C169" s="25"/>
      <c r="D169" s="26"/>
      <c r="E169" s="25"/>
      <c r="F169" s="27"/>
      <c r="G169" s="28"/>
      <c r="H169" s="28"/>
      <c r="I169" s="29" t="str">
        <f t="shared" si="6"/>
        <v/>
      </c>
      <c r="J169" s="30" t="str">
        <f t="shared" si="7"/>
        <v/>
      </c>
      <c r="K169" s="26"/>
      <c r="L169" s="24" t="str">
        <f>IF(N169="","",IF(N169="T","Título de capítulo",IF(OR(ISERROR(F169),ISERROR(G169),ISERROR(H169)),"Error en fórmula: pegá como valores",IF(AND(B169="",$C$6=""),"Falta sector",IF(M169="","Falta capítulo",IF(TRIM(E169)="","Falta unidad",IF(NOT((COUNTIF(Listas!$A$2:$A$40,E169)+COUNTIF(Listas!$D$2:$D$60,E169)&gt;0)),"Unidad no reconocida",IF(AND(F169&lt;&gt;"",NOT(ISNUMBER(F169))),"Cantidad no es número",IF(N(F169)&lt;=0,"Falta cantidad",IF(OR(AND(G169&lt;&gt;"",NOT(ISNUMBER(G169))),AND(H169&lt;&gt;"",NOT(ISNUMBER(H169)))),"Precio no es número",IF(N(G169)+N(H169)&lt;=0,"Falta precio","✓ OK")))))))))))</f>
        <v/>
      </c>
      <c r="M169" t="str">
        <f>IF(N169&lt;&gt;"W","",IF(TRIM(C169)&lt;&gt;"",TRIM(C169),IFERROR(LOOKUP(2,1/(N$9:N169="T"),D$9:D169),"")))</f>
        <v/>
      </c>
      <c r="N169" t="str">
        <f t="shared" si="8"/>
        <v/>
      </c>
      <c r="O169" t="str">
        <f>IF(M169="","",IF(COUNTIF(M$9:M169,M169)=1,MAX(O$8:O168)+1,""))</f>
        <v/>
      </c>
    </row>
    <row r="170" spans="1:15" x14ac:dyDescent="0.75">
      <c r="A170" s="24" t="str">
        <f>IF(N170="W",COUNTIF(N$9:N170,"W"),"")</f>
        <v/>
      </c>
      <c r="B170" s="25"/>
      <c r="C170" s="25"/>
      <c r="D170" s="26"/>
      <c r="E170" s="25"/>
      <c r="F170" s="27"/>
      <c r="G170" s="28"/>
      <c r="H170" s="28"/>
      <c r="I170" s="29" t="str">
        <f t="shared" si="6"/>
        <v/>
      </c>
      <c r="J170" s="30" t="str">
        <f t="shared" si="7"/>
        <v/>
      </c>
      <c r="K170" s="26"/>
      <c r="L170" s="24" t="str">
        <f>IF(N170="","",IF(N170="T","Título de capítulo",IF(OR(ISERROR(F170),ISERROR(G170),ISERROR(H170)),"Error en fórmula: pegá como valores",IF(AND(B170="",$C$6=""),"Falta sector",IF(M170="","Falta capítulo",IF(TRIM(E170)="","Falta unidad",IF(NOT((COUNTIF(Listas!$A$2:$A$40,E170)+COUNTIF(Listas!$D$2:$D$60,E170)&gt;0)),"Unidad no reconocida",IF(AND(F170&lt;&gt;"",NOT(ISNUMBER(F170))),"Cantidad no es número",IF(N(F170)&lt;=0,"Falta cantidad",IF(OR(AND(G170&lt;&gt;"",NOT(ISNUMBER(G170))),AND(H170&lt;&gt;"",NOT(ISNUMBER(H170)))),"Precio no es número",IF(N(G170)+N(H170)&lt;=0,"Falta precio","✓ OK")))))))))))</f>
        <v/>
      </c>
      <c r="M170" t="str">
        <f>IF(N170&lt;&gt;"W","",IF(TRIM(C170)&lt;&gt;"",TRIM(C170),IFERROR(LOOKUP(2,1/(N$9:N170="T"),D$9:D170),"")))</f>
        <v/>
      </c>
      <c r="N170" t="str">
        <f t="shared" si="8"/>
        <v/>
      </c>
      <c r="O170" t="str">
        <f>IF(M170="","",IF(COUNTIF(M$9:M170,M170)=1,MAX(O$8:O169)+1,""))</f>
        <v/>
      </c>
    </row>
    <row r="171" spans="1:15" x14ac:dyDescent="0.75">
      <c r="A171" s="24" t="str">
        <f>IF(N171="W",COUNTIF(N$9:N171,"W"),"")</f>
        <v/>
      </c>
      <c r="B171" s="25"/>
      <c r="C171" s="25"/>
      <c r="D171" s="26"/>
      <c r="E171" s="25"/>
      <c r="F171" s="27"/>
      <c r="G171" s="28"/>
      <c r="H171" s="28"/>
      <c r="I171" s="29" t="str">
        <f t="shared" si="6"/>
        <v/>
      </c>
      <c r="J171" s="30" t="str">
        <f t="shared" si="7"/>
        <v/>
      </c>
      <c r="K171" s="26"/>
      <c r="L171" s="24" t="str">
        <f>IF(N171="","",IF(N171="T","Título de capítulo",IF(OR(ISERROR(F171),ISERROR(G171),ISERROR(H171)),"Error en fórmula: pegá como valores",IF(AND(B171="",$C$6=""),"Falta sector",IF(M171="","Falta capítulo",IF(TRIM(E171)="","Falta unidad",IF(NOT((COUNTIF(Listas!$A$2:$A$40,E171)+COUNTIF(Listas!$D$2:$D$60,E171)&gt;0)),"Unidad no reconocida",IF(AND(F171&lt;&gt;"",NOT(ISNUMBER(F171))),"Cantidad no es número",IF(N(F171)&lt;=0,"Falta cantidad",IF(OR(AND(G171&lt;&gt;"",NOT(ISNUMBER(G171))),AND(H171&lt;&gt;"",NOT(ISNUMBER(H171)))),"Precio no es número",IF(N(G171)+N(H171)&lt;=0,"Falta precio","✓ OK")))))))))))</f>
        <v/>
      </c>
      <c r="M171" t="str">
        <f>IF(N171&lt;&gt;"W","",IF(TRIM(C171)&lt;&gt;"",TRIM(C171),IFERROR(LOOKUP(2,1/(N$9:N171="T"),D$9:D171),"")))</f>
        <v/>
      </c>
      <c r="N171" t="str">
        <f t="shared" si="8"/>
        <v/>
      </c>
      <c r="O171" t="str">
        <f>IF(M171="","",IF(COUNTIF(M$9:M171,M171)=1,MAX(O$8:O170)+1,""))</f>
        <v/>
      </c>
    </row>
    <row r="172" spans="1:15" x14ac:dyDescent="0.75">
      <c r="A172" s="24" t="str">
        <f>IF(N172="W",COUNTIF(N$9:N172,"W"),"")</f>
        <v/>
      </c>
      <c r="B172" s="25"/>
      <c r="C172" s="25"/>
      <c r="D172" s="26"/>
      <c r="E172" s="25"/>
      <c r="F172" s="27"/>
      <c r="G172" s="28"/>
      <c r="H172" s="28"/>
      <c r="I172" s="29" t="str">
        <f t="shared" si="6"/>
        <v/>
      </c>
      <c r="J172" s="30" t="str">
        <f t="shared" si="7"/>
        <v/>
      </c>
      <c r="K172" s="26"/>
      <c r="L172" s="24" t="str">
        <f>IF(N172="","",IF(N172="T","Título de capítulo",IF(OR(ISERROR(F172),ISERROR(G172),ISERROR(H172)),"Error en fórmula: pegá como valores",IF(AND(B172="",$C$6=""),"Falta sector",IF(M172="","Falta capítulo",IF(TRIM(E172)="","Falta unidad",IF(NOT((COUNTIF(Listas!$A$2:$A$40,E172)+COUNTIF(Listas!$D$2:$D$60,E172)&gt;0)),"Unidad no reconocida",IF(AND(F172&lt;&gt;"",NOT(ISNUMBER(F172))),"Cantidad no es número",IF(N(F172)&lt;=0,"Falta cantidad",IF(OR(AND(G172&lt;&gt;"",NOT(ISNUMBER(G172))),AND(H172&lt;&gt;"",NOT(ISNUMBER(H172)))),"Precio no es número",IF(N(G172)+N(H172)&lt;=0,"Falta precio","✓ OK")))))))))))</f>
        <v/>
      </c>
      <c r="M172" t="str">
        <f>IF(N172&lt;&gt;"W","",IF(TRIM(C172)&lt;&gt;"",TRIM(C172),IFERROR(LOOKUP(2,1/(N$9:N172="T"),D$9:D172),"")))</f>
        <v/>
      </c>
      <c r="N172" t="str">
        <f t="shared" si="8"/>
        <v/>
      </c>
      <c r="O172" t="str">
        <f>IF(M172="","",IF(COUNTIF(M$9:M172,M172)=1,MAX(O$8:O171)+1,""))</f>
        <v/>
      </c>
    </row>
    <row r="173" spans="1:15" x14ac:dyDescent="0.75">
      <c r="A173" s="24" t="str">
        <f>IF(N173="W",COUNTIF(N$9:N173,"W"),"")</f>
        <v/>
      </c>
      <c r="B173" s="25"/>
      <c r="C173" s="25"/>
      <c r="D173" s="26"/>
      <c r="E173" s="25"/>
      <c r="F173" s="27"/>
      <c r="G173" s="28"/>
      <c r="H173" s="28"/>
      <c r="I173" s="29" t="str">
        <f t="shared" si="6"/>
        <v/>
      </c>
      <c r="J173" s="30" t="str">
        <f t="shared" si="7"/>
        <v/>
      </c>
      <c r="K173" s="26"/>
      <c r="L173" s="24" t="str">
        <f>IF(N173="","",IF(N173="T","Título de capítulo",IF(OR(ISERROR(F173),ISERROR(G173),ISERROR(H173)),"Error en fórmula: pegá como valores",IF(AND(B173="",$C$6=""),"Falta sector",IF(M173="","Falta capítulo",IF(TRIM(E173)="","Falta unidad",IF(NOT((COUNTIF(Listas!$A$2:$A$40,E173)+COUNTIF(Listas!$D$2:$D$60,E173)&gt;0)),"Unidad no reconocida",IF(AND(F173&lt;&gt;"",NOT(ISNUMBER(F173))),"Cantidad no es número",IF(N(F173)&lt;=0,"Falta cantidad",IF(OR(AND(G173&lt;&gt;"",NOT(ISNUMBER(G173))),AND(H173&lt;&gt;"",NOT(ISNUMBER(H173)))),"Precio no es número",IF(N(G173)+N(H173)&lt;=0,"Falta precio","✓ OK")))))))))))</f>
        <v/>
      </c>
      <c r="M173" t="str">
        <f>IF(N173&lt;&gt;"W","",IF(TRIM(C173)&lt;&gt;"",TRIM(C173),IFERROR(LOOKUP(2,1/(N$9:N173="T"),D$9:D173),"")))</f>
        <v/>
      </c>
      <c r="N173" t="str">
        <f t="shared" si="8"/>
        <v/>
      </c>
      <c r="O173" t="str">
        <f>IF(M173="","",IF(COUNTIF(M$9:M173,M173)=1,MAX(O$8:O172)+1,""))</f>
        <v/>
      </c>
    </row>
    <row r="174" spans="1:15" x14ac:dyDescent="0.75">
      <c r="A174" s="24" t="str">
        <f>IF(N174="W",COUNTIF(N$9:N174,"W"),"")</f>
        <v/>
      </c>
      <c r="B174" s="25"/>
      <c r="C174" s="25"/>
      <c r="D174" s="26"/>
      <c r="E174" s="25"/>
      <c r="F174" s="27"/>
      <c r="G174" s="28"/>
      <c r="H174" s="28"/>
      <c r="I174" s="29" t="str">
        <f t="shared" si="6"/>
        <v/>
      </c>
      <c r="J174" s="30" t="str">
        <f t="shared" si="7"/>
        <v/>
      </c>
      <c r="K174" s="26"/>
      <c r="L174" s="24" t="str">
        <f>IF(N174="","",IF(N174="T","Título de capítulo",IF(OR(ISERROR(F174),ISERROR(G174),ISERROR(H174)),"Error en fórmula: pegá como valores",IF(AND(B174="",$C$6=""),"Falta sector",IF(M174="","Falta capítulo",IF(TRIM(E174)="","Falta unidad",IF(NOT((COUNTIF(Listas!$A$2:$A$40,E174)+COUNTIF(Listas!$D$2:$D$60,E174)&gt;0)),"Unidad no reconocida",IF(AND(F174&lt;&gt;"",NOT(ISNUMBER(F174))),"Cantidad no es número",IF(N(F174)&lt;=0,"Falta cantidad",IF(OR(AND(G174&lt;&gt;"",NOT(ISNUMBER(G174))),AND(H174&lt;&gt;"",NOT(ISNUMBER(H174)))),"Precio no es número",IF(N(G174)+N(H174)&lt;=0,"Falta precio","✓ OK")))))))))))</f>
        <v/>
      </c>
      <c r="M174" t="str">
        <f>IF(N174&lt;&gt;"W","",IF(TRIM(C174)&lt;&gt;"",TRIM(C174),IFERROR(LOOKUP(2,1/(N$9:N174="T"),D$9:D174),"")))</f>
        <v/>
      </c>
      <c r="N174" t="str">
        <f t="shared" si="8"/>
        <v/>
      </c>
      <c r="O174" t="str">
        <f>IF(M174="","",IF(COUNTIF(M$9:M174,M174)=1,MAX(O$8:O173)+1,""))</f>
        <v/>
      </c>
    </row>
    <row r="175" spans="1:15" x14ac:dyDescent="0.75">
      <c r="A175" s="24" t="str">
        <f>IF(N175="W",COUNTIF(N$9:N175,"W"),"")</f>
        <v/>
      </c>
      <c r="B175" s="25"/>
      <c r="C175" s="25"/>
      <c r="D175" s="26"/>
      <c r="E175" s="25"/>
      <c r="F175" s="27"/>
      <c r="G175" s="28"/>
      <c r="H175" s="28"/>
      <c r="I175" s="29" t="str">
        <f t="shared" si="6"/>
        <v/>
      </c>
      <c r="J175" s="30" t="str">
        <f t="shared" si="7"/>
        <v/>
      </c>
      <c r="K175" s="26"/>
      <c r="L175" s="24" t="str">
        <f>IF(N175="","",IF(N175="T","Título de capítulo",IF(OR(ISERROR(F175),ISERROR(G175),ISERROR(H175)),"Error en fórmula: pegá como valores",IF(AND(B175="",$C$6=""),"Falta sector",IF(M175="","Falta capítulo",IF(TRIM(E175)="","Falta unidad",IF(NOT((COUNTIF(Listas!$A$2:$A$40,E175)+COUNTIF(Listas!$D$2:$D$60,E175)&gt;0)),"Unidad no reconocida",IF(AND(F175&lt;&gt;"",NOT(ISNUMBER(F175))),"Cantidad no es número",IF(N(F175)&lt;=0,"Falta cantidad",IF(OR(AND(G175&lt;&gt;"",NOT(ISNUMBER(G175))),AND(H175&lt;&gt;"",NOT(ISNUMBER(H175)))),"Precio no es número",IF(N(G175)+N(H175)&lt;=0,"Falta precio","✓ OK")))))))))))</f>
        <v/>
      </c>
      <c r="M175" t="str">
        <f>IF(N175&lt;&gt;"W","",IF(TRIM(C175)&lt;&gt;"",TRIM(C175),IFERROR(LOOKUP(2,1/(N$9:N175="T"),D$9:D175),"")))</f>
        <v/>
      </c>
      <c r="N175" t="str">
        <f t="shared" si="8"/>
        <v/>
      </c>
      <c r="O175" t="str">
        <f>IF(M175="","",IF(COUNTIF(M$9:M175,M175)=1,MAX(O$8:O174)+1,""))</f>
        <v/>
      </c>
    </row>
    <row r="176" spans="1:15" x14ac:dyDescent="0.75">
      <c r="A176" s="24" t="str">
        <f>IF(N176="W",COUNTIF(N$9:N176,"W"),"")</f>
        <v/>
      </c>
      <c r="B176" s="25"/>
      <c r="C176" s="25"/>
      <c r="D176" s="26"/>
      <c r="E176" s="25"/>
      <c r="F176" s="27"/>
      <c r="G176" s="28"/>
      <c r="H176" s="28"/>
      <c r="I176" s="29" t="str">
        <f t="shared" si="6"/>
        <v/>
      </c>
      <c r="J176" s="30" t="str">
        <f t="shared" si="7"/>
        <v/>
      </c>
      <c r="K176" s="26"/>
      <c r="L176" s="24" t="str">
        <f>IF(N176="","",IF(N176="T","Título de capítulo",IF(OR(ISERROR(F176),ISERROR(G176),ISERROR(H176)),"Error en fórmula: pegá como valores",IF(AND(B176="",$C$6=""),"Falta sector",IF(M176="","Falta capítulo",IF(TRIM(E176)="","Falta unidad",IF(NOT((COUNTIF(Listas!$A$2:$A$40,E176)+COUNTIF(Listas!$D$2:$D$60,E176)&gt;0)),"Unidad no reconocida",IF(AND(F176&lt;&gt;"",NOT(ISNUMBER(F176))),"Cantidad no es número",IF(N(F176)&lt;=0,"Falta cantidad",IF(OR(AND(G176&lt;&gt;"",NOT(ISNUMBER(G176))),AND(H176&lt;&gt;"",NOT(ISNUMBER(H176)))),"Precio no es número",IF(N(G176)+N(H176)&lt;=0,"Falta precio","✓ OK")))))))))))</f>
        <v/>
      </c>
      <c r="M176" t="str">
        <f>IF(N176&lt;&gt;"W","",IF(TRIM(C176)&lt;&gt;"",TRIM(C176),IFERROR(LOOKUP(2,1/(N$9:N176="T"),D$9:D176),"")))</f>
        <v/>
      </c>
      <c r="N176" t="str">
        <f t="shared" si="8"/>
        <v/>
      </c>
      <c r="O176" t="str">
        <f>IF(M176="","",IF(COUNTIF(M$9:M176,M176)=1,MAX(O$8:O175)+1,""))</f>
        <v/>
      </c>
    </row>
    <row r="177" spans="1:15" x14ac:dyDescent="0.75">
      <c r="A177" s="24" t="str">
        <f>IF(N177="W",COUNTIF(N$9:N177,"W"),"")</f>
        <v/>
      </c>
      <c r="B177" s="25"/>
      <c r="C177" s="25"/>
      <c r="D177" s="26"/>
      <c r="E177" s="25"/>
      <c r="F177" s="27"/>
      <c r="G177" s="28"/>
      <c r="H177" s="28"/>
      <c r="I177" s="29" t="str">
        <f t="shared" si="6"/>
        <v/>
      </c>
      <c r="J177" s="30" t="str">
        <f t="shared" si="7"/>
        <v/>
      </c>
      <c r="K177" s="26"/>
      <c r="L177" s="24" t="str">
        <f>IF(N177="","",IF(N177="T","Título de capítulo",IF(OR(ISERROR(F177),ISERROR(G177),ISERROR(H177)),"Error en fórmula: pegá como valores",IF(AND(B177="",$C$6=""),"Falta sector",IF(M177="","Falta capítulo",IF(TRIM(E177)="","Falta unidad",IF(NOT((COUNTIF(Listas!$A$2:$A$40,E177)+COUNTIF(Listas!$D$2:$D$60,E177)&gt;0)),"Unidad no reconocida",IF(AND(F177&lt;&gt;"",NOT(ISNUMBER(F177))),"Cantidad no es número",IF(N(F177)&lt;=0,"Falta cantidad",IF(OR(AND(G177&lt;&gt;"",NOT(ISNUMBER(G177))),AND(H177&lt;&gt;"",NOT(ISNUMBER(H177)))),"Precio no es número",IF(N(G177)+N(H177)&lt;=0,"Falta precio","✓ OK")))))))))))</f>
        <v/>
      </c>
      <c r="M177" t="str">
        <f>IF(N177&lt;&gt;"W","",IF(TRIM(C177)&lt;&gt;"",TRIM(C177),IFERROR(LOOKUP(2,1/(N$9:N177="T"),D$9:D177),"")))</f>
        <v/>
      </c>
      <c r="N177" t="str">
        <f t="shared" si="8"/>
        <v/>
      </c>
      <c r="O177" t="str">
        <f>IF(M177="","",IF(COUNTIF(M$9:M177,M177)=1,MAX(O$8:O176)+1,""))</f>
        <v/>
      </c>
    </row>
    <row r="178" spans="1:15" x14ac:dyDescent="0.75">
      <c r="A178" s="24" t="str">
        <f>IF(N178="W",COUNTIF(N$9:N178,"W"),"")</f>
        <v/>
      </c>
      <c r="B178" s="25"/>
      <c r="C178" s="25"/>
      <c r="D178" s="26"/>
      <c r="E178" s="25"/>
      <c r="F178" s="27"/>
      <c r="G178" s="28"/>
      <c r="H178" s="28"/>
      <c r="I178" s="29" t="str">
        <f t="shared" si="6"/>
        <v/>
      </c>
      <c r="J178" s="30" t="str">
        <f t="shared" si="7"/>
        <v/>
      </c>
      <c r="K178" s="26"/>
      <c r="L178" s="24" t="str">
        <f>IF(N178="","",IF(N178="T","Título de capítulo",IF(OR(ISERROR(F178),ISERROR(G178),ISERROR(H178)),"Error en fórmula: pegá como valores",IF(AND(B178="",$C$6=""),"Falta sector",IF(M178="","Falta capítulo",IF(TRIM(E178)="","Falta unidad",IF(NOT((COUNTIF(Listas!$A$2:$A$40,E178)+COUNTIF(Listas!$D$2:$D$60,E178)&gt;0)),"Unidad no reconocida",IF(AND(F178&lt;&gt;"",NOT(ISNUMBER(F178))),"Cantidad no es número",IF(N(F178)&lt;=0,"Falta cantidad",IF(OR(AND(G178&lt;&gt;"",NOT(ISNUMBER(G178))),AND(H178&lt;&gt;"",NOT(ISNUMBER(H178)))),"Precio no es número",IF(N(G178)+N(H178)&lt;=0,"Falta precio","✓ OK")))))))))))</f>
        <v/>
      </c>
      <c r="M178" t="str">
        <f>IF(N178&lt;&gt;"W","",IF(TRIM(C178)&lt;&gt;"",TRIM(C178),IFERROR(LOOKUP(2,1/(N$9:N178="T"),D$9:D178),"")))</f>
        <v/>
      </c>
      <c r="N178" t="str">
        <f t="shared" si="8"/>
        <v/>
      </c>
      <c r="O178" t="str">
        <f>IF(M178="","",IF(COUNTIF(M$9:M178,M178)=1,MAX(O$8:O177)+1,""))</f>
        <v/>
      </c>
    </row>
    <row r="179" spans="1:15" x14ac:dyDescent="0.75">
      <c r="A179" s="24" t="str">
        <f>IF(N179="W",COUNTIF(N$9:N179,"W"),"")</f>
        <v/>
      </c>
      <c r="B179" s="25"/>
      <c r="C179" s="25"/>
      <c r="D179" s="26"/>
      <c r="E179" s="25"/>
      <c r="F179" s="27"/>
      <c r="G179" s="28"/>
      <c r="H179" s="28"/>
      <c r="I179" s="29" t="str">
        <f t="shared" si="6"/>
        <v/>
      </c>
      <c r="J179" s="30" t="str">
        <f t="shared" si="7"/>
        <v/>
      </c>
      <c r="K179" s="26"/>
      <c r="L179" s="24" t="str">
        <f>IF(N179="","",IF(N179="T","Título de capítulo",IF(OR(ISERROR(F179),ISERROR(G179),ISERROR(H179)),"Error en fórmula: pegá como valores",IF(AND(B179="",$C$6=""),"Falta sector",IF(M179="","Falta capítulo",IF(TRIM(E179)="","Falta unidad",IF(NOT((COUNTIF(Listas!$A$2:$A$40,E179)+COUNTIF(Listas!$D$2:$D$60,E179)&gt;0)),"Unidad no reconocida",IF(AND(F179&lt;&gt;"",NOT(ISNUMBER(F179))),"Cantidad no es número",IF(N(F179)&lt;=0,"Falta cantidad",IF(OR(AND(G179&lt;&gt;"",NOT(ISNUMBER(G179))),AND(H179&lt;&gt;"",NOT(ISNUMBER(H179)))),"Precio no es número",IF(N(G179)+N(H179)&lt;=0,"Falta precio","✓ OK")))))))))))</f>
        <v/>
      </c>
      <c r="M179" t="str">
        <f>IF(N179&lt;&gt;"W","",IF(TRIM(C179)&lt;&gt;"",TRIM(C179),IFERROR(LOOKUP(2,1/(N$9:N179="T"),D$9:D179),"")))</f>
        <v/>
      </c>
      <c r="N179" t="str">
        <f t="shared" si="8"/>
        <v/>
      </c>
      <c r="O179" t="str">
        <f>IF(M179="","",IF(COUNTIF(M$9:M179,M179)=1,MAX(O$8:O178)+1,""))</f>
        <v/>
      </c>
    </row>
    <row r="180" spans="1:15" x14ac:dyDescent="0.75">
      <c r="A180" s="24" t="str">
        <f>IF(N180="W",COUNTIF(N$9:N180,"W"),"")</f>
        <v/>
      </c>
      <c r="B180" s="25"/>
      <c r="C180" s="25"/>
      <c r="D180" s="26"/>
      <c r="E180" s="25"/>
      <c r="F180" s="27"/>
      <c r="G180" s="28"/>
      <c r="H180" s="28"/>
      <c r="I180" s="29" t="str">
        <f t="shared" si="6"/>
        <v/>
      </c>
      <c r="J180" s="30" t="str">
        <f t="shared" si="7"/>
        <v/>
      </c>
      <c r="K180" s="26"/>
      <c r="L180" s="24" t="str">
        <f>IF(N180="","",IF(N180="T","Título de capítulo",IF(OR(ISERROR(F180),ISERROR(G180),ISERROR(H180)),"Error en fórmula: pegá como valores",IF(AND(B180="",$C$6=""),"Falta sector",IF(M180="","Falta capítulo",IF(TRIM(E180)="","Falta unidad",IF(NOT((COUNTIF(Listas!$A$2:$A$40,E180)+COUNTIF(Listas!$D$2:$D$60,E180)&gt;0)),"Unidad no reconocida",IF(AND(F180&lt;&gt;"",NOT(ISNUMBER(F180))),"Cantidad no es número",IF(N(F180)&lt;=0,"Falta cantidad",IF(OR(AND(G180&lt;&gt;"",NOT(ISNUMBER(G180))),AND(H180&lt;&gt;"",NOT(ISNUMBER(H180)))),"Precio no es número",IF(N(G180)+N(H180)&lt;=0,"Falta precio","✓ OK")))))))))))</f>
        <v/>
      </c>
      <c r="M180" t="str">
        <f>IF(N180&lt;&gt;"W","",IF(TRIM(C180)&lt;&gt;"",TRIM(C180),IFERROR(LOOKUP(2,1/(N$9:N180="T"),D$9:D180),"")))</f>
        <v/>
      </c>
      <c r="N180" t="str">
        <f t="shared" si="8"/>
        <v/>
      </c>
      <c r="O180" t="str">
        <f>IF(M180="","",IF(COUNTIF(M$9:M180,M180)=1,MAX(O$8:O179)+1,""))</f>
        <v/>
      </c>
    </row>
    <row r="181" spans="1:15" x14ac:dyDescent="0.75">
      <c r="A181" s="24" t="str">
        <f>IF(N181="W",COUNTIF(N$9:N181,"W"),"")</f>
        <v/>
      </c>
      <c r="B181" s="25"/>
      <c r="C181" s="25"/>
      <c r="D181" s="26"/>
      <c r="E181" s="25"/>
      <c r="F181" s="27"/>
      <c r="G181" s="28"/>
      <c r="H181" s="28"/>
      <c r="I181" s="29" t="str">
        <f t="shared" si="6"/>
        <v/>
      </c>
      <c r="J181" s="30" t="str">
        <f t="shared" si="7"/>
        <v/>
      </c>
      <c r="K181" s="26"/>
      <c r="L181" s="24" t="str">
        <f>IF(N181="","",IF(N181="T","Título de capítulo",IF(OR(ISERROR(F181),ISERROR(G181),ISERROR(H181)),"Error en fórmula: pegá como valores",IF(AND(B181="",$C$6=""),"Falta sector",IF(M181="","Falta capítulo",IF(TRIM(E181)="","Falta unidad",IF(NOT((COUNTIF(Listas!$A$2:$A$40,E181)+COUNTIF(Listas!$D$2:$D$60,E181)&gt;0)),"Unidad no reconocida",IF(AND(F181&lt;&gt;"",NOT(ISNUMBER(F181))),"Cantidad no es número",IF(N(F181)&lt;=0,"Falta cantidad",IF(OR(AND(G181&lt;&gt;"",NOT(ISNUMBER(G181))),AND(H181&lt;&gt;"",NOT(ISNUMBER(H181)))),"Precio no es número",IF(N(G181)+N(H181)&lt;=0,"Falta precio","✓ OK")))))))))))</f>
        <v/>
      </c>
      <c r="M181" t="str">
        <f>IF(N181&lt;&gt;"W","",IF(TRIM(C181)&lt;&gt;"",TRIM(C181),IFERROR(LOOKUP(2,1/(N$9:N181="T"),D$9:D181),"")))</f>
        <v/>
      </c>
      <c r="N181" t="str">
        <f t="shared" si="8"/>
        <v/>
      </c>
      <c r="O181" t="str">
        <f>IF(M181="","",IF(COUNTIF(M$9:M181,M181)=1,MAX(O$8:O180)+1,""))</f>
        <v/>
      </c>
    </row>
    <row r="182" spans="1:15" x14ac:dyDescent="0.75">
      <c r="A182" s="24" t="str">
        <f>IF(N182="W",COUNTIF(N$9:N182,"W"),"")</f>
        <v/>
      </c>
      <c r="B182" s="25"/>
      <c r="C182" s="25"/>
      <c r="D182" s="26"/>
      <c r="E182" s="25"/>
      <c r="F182" s="27"/>
      <c r="G182" s="28"/>
      <c r="H182" s="28"/>
      <c r="I182" s="29" t="str">
        <f t="shared" si="6"/>
        <v/>
      </c>
      <c r="J182" s="30" t="str">
        <f t="shared" si="7"/>
        <v/>
      </c>
      <c r="K182" s="26"/>
      <c r="L182" s="24" t="str">
        <f>IF(N182="","",IF(N182="T","Título de capítulo",IF(OR(ISERROR(F182),ISERROR(G182),ISERROR(H182)),"Error en fórmula: pegá como valores",IF(AND(B182="",$C$6=""),"Falta sector",IF(M182="","Falta capítulo",IF(TRIM(E182)="","Falta unidad",IF(NOT((COUNTIF(Listas!$A$2:$A$40,E182)+COUNTIF(Listas!$D$2:$D$60,E182)&gt;0)),"Unidad no reconocida",IF(AND(F182&lt;&gt;"",NOT(ISNUMBER(F182))),"Cantidad no es número",IF(N(F182)&lt;=0,"Falta cantidad",IF(OR(AND(G182&lt;&gt;"",NOT(ISNUMBER(G182))),AND(H182&lt;&gt;"",NOT(ISNUMBER(H182)))),"Precio no es número",IF(N(G182)+N(H182)&lt;=0,"Falta precio","✓ OK")))))))))))</f>
        <v/>
      </c>
      <c r="M182" t="str">
        <f>IF(N182&lt;&gt;"W","",IF(TRIM(C182)&lt;&gt;"",TRIM(C182),IFERROR(LOOKUP(2,1/(N$9:N182="T"),D$9:D182),"")))</f>
        <v/>
      </c>
      <c r="N182" t="str">
        <f t="shared" si="8"/>
        <v/>
      </c>
      <c r="O182" t="str">
        <f>IF(M182="","",IF(COUNTIF(M$9:M182,M182)=1,MAX(O$8:O181)+1,""))</f>
        <v/>
      </c>
    </row>
    <row r="183" spans="1:15" x14ac:dyDescent="0.75">
      <c r="A183" s="24" t="str">
        <f>IF(N183="W",COUNTIF(N$9:N183,"W"),"")</f>
        <v/>
      </c>
      <c r="B183" s="25"/>
      <c r="C183" s="25"/>
      <c r="D183" s="26"/>
      <c r="E183" s="25"/>
      <c r="F183" s="27"/>
      <c r="G183" s="28"/>
      <c r="H183" s="28"/>
      <c r="I183" s="29" t="str">
        <f t="shared" si="6"/>
        <v/>
      </c>
      <c r="J183" s="30" t="str">
        <f t="shared" si="7"/>
        <v/>
      </c>
      <c r="K183" s="26"/>
      <c r="L183" s="24" t="str">
        <f>IF(N183="","",IF(N183="T","Título de capítulo",IF(OR(ISERROR(F183),ISERROR(G183),ISERROR(H183)),"Error en fórmula: pegá como valores",IF(AND(B183="",$C$6=""),"Falta sector",IF(M183="","Falta capítulo",IF(TRIM(E183)="","Falta unidad",IF(NOT((COUNTIF(Listas!$A$2:$A$40,E183)+COUNTIF(Listas!$D$2:$D$60,E183)&gt;0)),"Unidad no reconocida",IF(AND(F183&lt;&gt;"",NOT(ISNUMBER(F183))),"Cantidad no es número",IF(N(F183)&lt;=0,"Falta cantidad",IF(OR(AND(G183&lt;&gt;"",NOT(ISNUMBER(G183))),AND(H183&lt;&gt;"",NOT(ISNUMBER(H183)))),"Precio no es número",IF(N(G183)+N(H183)&lt;=0,"Falta precio","✓ OK")))))))))))</f>
        <v/>
      </c>
      <c r="M183" t="str">
        <f>IF(N183&lt;&gt;"W","",IF(TRIM(C183)&lt;&gt;"",TRIM(C183),IFERROR(LOOKUP(2,1/(N$9:N183="T"),D$9:D183),"")))</f>
        <v/>
      </c>
      <c r="N183" t="str">
        <f t="shared" si="8"/>
        <v/>
      </c>
      <c r="O183" t="str">
        <f>IF(M183="","",IF(COUNTIF(M$9:M183,M183)=1,MAX(O$8:O182)+1,""))</f>
        <v/>
      </c>
    </row>
    <row r="184" spans="1:15" x14ac:dyDescent="0.75">
      <c r="A184" s="24" t="str">
        <f>IF(N184="W",COUNTIF(N$9:N184,"W"),"")</f>
        <v/>
      </c>
      <c r="B184" s="25"/>
      <c r="C184" s="25"/>
      <c r="D184" s="26"/>
      <c r="E184" s="25"/>
      <c r="F184" s="27"/>
      <c r="G184" s="28"/>
      <c r="H184" s="28"/>
      <c r="I184" s="29" t="str">
        <f t="shared" si="6"/>
        <v/>
      </c>
      <c r="J184" s="30" t="str">
        <f t="shared" si="7"/>
        <v/>
      </c>
      <c r="K184" s="26"/>
      <c r="L184" s="24" t="str">
        <f>IF(N184="","",IF(N184="T","Título de capítulo",IF(OR(ISERROR(F184),ISERROR(G184),ISERROR(H184)),"Error en fórmula: pegá como valores",IF(AND(B184="",$C$6=""),"Falta sector",IF(M184="","Falta capítulo",IF(TRIM(E184)="","Falta unidad",IF(NOT((COUNTIF(Listas!$A$2:$A$40,E184)+COUNTIF(Listas!$D$2:$D$60,E184)&gt;0)),"Unidad no reconocida",IF(AND(F184&lt;&gt;"",NOT(ISNUMBER(F184))),"Cantidad no es número",IF(N(F184)&lt;=0,"Falta cantidad",IF(OR(AND(G184&lt;&gt;"",NOT(ISNUMBER(G184))),AND(H184&lt;&gt;"",NOT(ISNUMBER(H184)))),"Precio no es número",IF(N(G184)+N(H184)&lt;=0,"Falta precio","✓ OK")))))))))))</f>
        <v/>
      </c>
      <c r="M184" t="str">
        <f>IF(N184&lt;&gt;"W","",IF(TRIM(C184)&lt;&gt;"",TRIM(C184),IFERROR(LOOKUP(2,1/(N$9:N184="T"),D$9:D184),"")))</f>
        <v/>
      </c>
      <c r="N184" t="str">
        <f t="shared" si="8"/>
        <v/>
      </c>
      <c r="O184" t="str">
        <f>IF(M184="","",IF(COUNTIF(M$9:M184,M184)=1,MAX(O$8:O183)+1,""))</f>
        <v/>
      </c>
    </row>
    <row r="185" spans="1:15" x14ac:dyDescent="0.75">
      <c r="A185" s="24" t="str">
        <f>IF(N185="W",COUNTIF(N$9:N185,"W"),"")</f>
        <v/>
      </c>
      <c r="B185" s="25"/>
      <c r="C185" s="25"/>
      <c r="D185" s="26"/>
      <c r="E185" s="25"/>
      <c r="F185" s="27"/>
      <c r="G185" s="28"/>
      <c r="H185" s="28"/>
      <c r="I185" s="29" t="str">
        <f t="shared" si="6"/>
        <v/>
      </c>
      <c r="J185" s="30" t="str">
        <f t="shared" si="7"/>
        <v/>
      </c>
      <c r="K185" s="26"/>
      <c r="L185" s="24" t="str">
        <f>IF(N185="","",IF(N185="T","Título de capítulo",IF(OR(ISERROR(F185),ISERROR(G185),ISERROR(H185)),"Error en fórmula: pegá como valores",IF(AND(B185="",$C$6=""),"Falta sector",IF(M185="","Falta capítulo",IF(TRIM(E185)="","Falta unidad",IF(NOT((COUNTIF(Listas!$A$2:$A$40,E185)+COUNTIF(Listas!$D$2:$D$60,E185)&gt;0)),"Unidad no reconocida",IF(AND(F185&lt;&gt;"",NOT(ISNUMBER(F185))),"Cantidad no es número",IF(N(F185)&lt;=0,"Falta cantidad",IF(OR(AND(G185&lt;&gt;"",NOT(ISNUMBER(G185))),AND(H185&lt;&gt;"",NOT(ISNUMBER(H185)))),"Precio no es número",IF(N(G185)+N(H185)&lt;=0,"Falta precio","✓ OK")))))))))))</f>
        <v/>
      </c>
      <c r="M185" t="str">
        <f>IF(N185&lt;&gt;"W","",IF(TRIM(C185)&lt;&gt;"",TRIM(C185),IFERROR(LOOKUP(2,1/(N$9:N185="T"),D$9:D185),"")))</f>
        <v/>
      </c>
      <c r="N185" t="str">
        <f t="shared" si="8"/>
        <v/>
      </c>
      <c r="O185" t="str">
        <f>IF(M185="","",IF(COUNTIF(M$9:M185,M185)=1,MAX(O$8:O184)+1,""))</f>
        <v/>
      </c>
    </row>
    <row r="186" spans="1:15" x14ac:dyDescent="0.75">
      <c r="A186" s="24" t="str">
        <f>IF(N186="W",COUNTIF(N$9:N186,"W"),"")</f>
        <v/>
      </c>
      <c r="B186" s="25"/>
      <c r="C186" s="25"/>
      <c r="D186" s="26"/>
      <c r="E186" s="25"/>
      <c r="F186" s="27"/>
      <c r="G186" s="28"/>
      <c r="H186" s="28"/>
      <c r="I186" s="29" t="str">
        <f t="shared" si="6"/>
        <v/>
      </c>
      <c r="J186" s="30" t="str">
        <f t="shared" si="7"/>
        <v/>
      </c>
      <c r="K186" s="26"/>
      <c r="L186" s="24" t="str">
        <f>IF(N186="","",IF(N186="T","Título de capítulo",IF(OR(ISERROR(F186),ISERROR(G186),ISERROR(H186)),"Error en fórmula: pegá como valores",IF(AND(B186="",$C$6=""),"Falta sector",IF(M186="","Falta capítulo",IF(TRIM(E186)="","Falta unidad",IF(NOT((COUNTIF(Listas!$A$2:$A$40,E186)+COUNTIF(Listas!$D$2:$D$60,E186)&gt;0)),"Unidad no reconocida",IF(AND(F186&lt;&gt;"",NOT(ISNUMBER(F186))),"Cantidad no es número",IF(N(F186)&lt;=0,"Falta cantidad",IF(OR(AND(G186&lt;&gt;"",NOT(ISNUMBER(G186))),AND(H186&lt;&gt;"",NOT(ISNUMBER(H186)))),"Precio no es número",IF(N(G186)+N(H186)&lt;=0,"Falta precio","✓ OK")))))))))))</f>
        <v/>
      </c>
      <c r="M186" t="str">
        <f>IF(N186&lt;&gt;"W","",IF(TRIM(C186)&lt;&gt;"",TRIM(C186),IFERROR(LOOKUP(2,1/(N$9:N186="T"),D$9:D186),"")))</f>
        <v/>
      </c>
      <c r="N186" t="str">
        <f t="shared" si="8"/>
        <v/>
      </c>
      <c r="O186" t="str">
        <f>IF(M186="","",IF(COUNTIF(M$9:M186,M186)=1,MAX(O$8:O185)+1,""))</f>
        <v/>
      </c>
    </row>
    <row r="187" spans="1:15" x14ac:dyDescent="0.75">
      <c r="A187" s="24" t="str">
        <f>IF(N187="W",COUNTIF(N$9:N187,"W"),"")</f>
        <v/>
      </c>
      <c r="B187" s="25"/>
      <c r="C187" s="25"/>
      <c r="D187" s="26"/>
      <c r="E187" s="25"/>
      <c r="F187" s="27"/>
      <c r="G187" s="28"/>
      <c r="H187" s="28"/>
      <c r="I187" s="29" t="str">
        <f t="shared" si="6"/>
        <v/>
      </c>
      <c r="J187" s="30" t="str">
        <f t="shared" si="7"/>
        <v/>
      </c>
      <c r="K187" s="26"/>
      <c r="L187" s="24" t="str">
        <f>IF(N187="","",IF(N187="T","Título de capítulo",IF(OR(ISERROR(F187),ISERROR(G187),ISERROR(H187)),"Error en fórmula: pegá como valores",IF(AND(B187="",$C$6=""),"Falta sector",IF(M187="","Falta capítulo",IF(TRIM(E187)="","Falta unidad",IF(NOT((COUNTIF(Listas!$A$2:$A$40,E187)+COUNTIF(Listas!$D$2:$D$60,E187)&gt;0)),"Unidad no reconocida",IF(AND(F187&lt;&gt;"",NOT(ISNUMBER(F187))),"Cantidad no es número",IF(N(F187)&lt;=0,"Falta cantidad",IF(OR(AND(G187&lt;&gt;"",NOT(ISNUMBER(G187))),AND(H187&lt;&gt;"",NOT(ISNUMBER(H187)))),"Precio no es número",IF(N(G187)+N(H187)&lt;=0,"Falta precio","✓ OK")))))))))))</f>
        <v/>
      </c>
      <c r="M187" t="str">
        <f>IF(N187&lt;&gt;"W","",IF(TRIM(C187)&lt;&gt;"",TRIM(C187),IFERROR(LOOKUP(2,1/(N$9:N187="T"),D$9:D187),"")))</f>
        <v/>
      </c>
      <c r="N187" t="str">
        <f t="shared" si="8"/>
        <v/>
      </c>
      <c r="O187" t="str">
        <f>IF(M187="","",IF(COUNTIF(M$9:M187,M187)=1,MAX(O$8:O186)+1,""))</f>
        <v/>
      </c>
    </row>
    <row r="188" spans="1:15" x14ac:dyDescent="0.75">
      <c r="A188" s="24" t="str">
        <f>IF(N188="W",COUNTIF(N$9:N188,"W"),"")</f>
        <v/>
      </c>
      <c r="B188" s="25"/>
      <c r="C188" s="25"/>
      <c r="D188" s="26"/>
      <c r="E188" s="25"/>
      <c r="F188" s="27"/>
      <c r="G188" s="28"/>
      <c r="H188" s="28"/>
      <c r="I188" s="29" t="str">
        <f t="shared" si="6"/>
        <v/>
      </c>
      <c r="J188" s="30" t="str">
        <f t="shared" si="7"/>
        <v/>
      </c>
      <c r="K188" s="26"/>
      <c r="L188" s="24" t="str">
        <f>IF(N188="","",IF(N188="T","Título de capítulo",IF(OR(ISERROR(F188),ISERROR(G188),ISERROR(H188)),"Error en fórmula: pegá como valores",IF(AND(B188="",$C$6=""),"Falta sector",IF(M188="","Falta capítulo",IF(TRIM(E188)="","Falta unidad",IF(NOT((COUNTIF(Listas!$A$2:$A$40,E188)+COUNTIF(Listas!$D$2:$D$60,E188)&gt;0)),"Unidad no reconocida",IF(AND(F188&lt;&gt;"",NOT(ISNUMBER(F188))),"Cantidad no es número",IF(N(F188)&lt;=0,"Falta cantidad",IF(OR(AND(G188&lt;&gt;"",NOT(ISNUMBER(G188))),AND(H188&lt;&gt;"",NOT(ISNUMBER(H188)))),"Precio no es número",IF(N(G188)+N(H188)&lt;=0,"Falta precio","✓ OK")))))))))))</f>
        <v/>
      </c>
      <c r="M188" t="str">
        <f>IF(N188&lt;&gt;"W","",IF(TRIM(C188)&lt;&gt;"",TRIM(C188),IFERROR(LOOKUP(2,1/(N$9:N188="T"),D$9:D188),"")))</f>
        <v/>
      </c>
      <c r="N188" t="str">
        <f t="shared" si="8"/>
        <v/>
      </c>
      <c r="O188" t="str">
        <f>IF(M188="","",IF(COUNTIF(M$9:M188,M188)=1,MAX(O$8:O187)+1,""))</f>
        <v/>
      </c>
    </row>
    <row r="189" spans="1:15" x14ac:dyDescent="0.75">
      <c r="A189" s="24" t="str">
        <f>IF(N189="W",COUNTIF(N$9:N189,"W"),"")</f>
        <v/>
      </c>
      <c r="B189" s="25"/>
      <c r="C189" s="25"/>
      <c r="D189" s="26"/>
      <c r="E189" s="25"/>
      <c r="F189" s="27"/>
      <c r="G189" s="28"/>
      <c r="H189" s="28"/>
      <c r="I189" s="29" t="str">
        <f t="shared" si="6"/>
        <v/>
      </c>
      <c r="J189" s="30" t="str">
        <f t="shared" si="7"/>
        <v/>
      </c>
      <c r="K189" s="26"/>
      <c r="L189" s="24" t="str">
        <f>IF(N189="","",IF(N189="T","Título de capítulo",IF(OR(ISERROR(F189),ISERROR(G189),ISERROR(H189)),"Error en fórmula: pegá como valores",IF(AND(B189="",$C$6=""),"Falta sector",IF(M189="","Falta capítulo",IF(TRIM(E189)="","Falta unidad",IF(NOT((COUNTIF(Listas!$A$2:$A$40,E189)+COUNTIF(Listas!$D$2:$D$60,E189)&gt;0)),"Unidad no reconocida",IF(AND(F189&lt;&gt;"",NOT(ISNUMBER(F189))),"Cantidad no es número",IF(N(F189)&lt;=0,"Falta cantidad",IF(OR(AND(G189&lt;&gt;"",NOT(ISNUMBER(G189))),AND(H189&lt;&gt;"",NOT(ISNUMBER(H189)))),"Precio no es número",IF(N(G189)+N(H189)&lt;=0,"Falta precio","✓ OK")))))))))))</f>
        <v/>
      </c>
      <c r="M189" t="str">
        <f>IF(N189&lt;&gt;"W","",IF(TRIM(C189)&lt;&gt;"",TRIM(C189),IFERROR(LOOKUP(2,1/(N$9:N189="T"),D$9:D189),"")))</f>
        <v/>
      </c>
      <c r="N189" t="str">
        <f t="shared" si="8"/>
        <v/>
      </c>
      <c r="O189" t="str">
        <f>IF(M189="","",IF(COUNTIF(M$9:M189,M189)=1,MAX(O$8:O188)+1,""))</f>
        <v/>
      </c>
    </row>
    <row r="190" spans="1:15" x14ac:dyDescent="0.75">
      <c r="A190" s="24" t="str">
        <f>IF(N190="W",COUNTIF(N$9:N190,"W"),"")</f>
        <v/>
      </c>
      <c r="B190" s="25"/>
      <c r="C190" s="25"/>
      <c r="D190" s="26"/>
      <c r="E190" s="25"/>
      <c r="F190" s="27"/>
      <c r="G190" s="28"/>
      <c r="H190" s="28"/>
      <c r="I190" s="29" t="str">
        <f t="shared" si="6"/>
        <v/>
      </c>
      <c r="J190" s="30" t="str">
        <f t="shared" si="7"/>
        <v/>
      </c>
      <c r="K190" s="26"/>
      <c r="L190" s="24" t="str">
        <f>IF(N190="","",IF(N190="T","Título de capítulo",IF(OR(ISERROR(F190),ISERROR(G190),ISERROR(H190)),"Error en fórmula: pegá como valores",IF(AND(B190="",$C$6=""),"Falta sector",IF(M190="","Falta capítulo",IF(TRIM(E190)="","Falta unidad",IF(NOT((COUNTIF(Listas!$A$2:$A$40,E190)+COUNTIF(Listas!$D$2:$D$60,E190)&gt;0)),"Unidad no reconocida",IF(AND(F190&lt;&gt;"",NOT(ISNUMBER(F190))),"Cantidad no es número",IF(N(F190)&lt;=0,"Falta cantidad",IF(OR(AND(G190&lt;&gt;"",NOT(ISNUMBER(G190))),AND(H190&lt;&gt;"",NOT(ISNUMBER(H190)))),"Precio no es número",IF(N(G190)+N(H190)&lt;=0,"Falta precio","✓ OK")))))))))))</f>
        <v/>
      </c>
      <c r="M190" t="str">
        <f>IF(N190&lt;&gt;"W","",IF(TRIM(C190)&lt;&gt;"",TRIM(C190),IFERROR(LOOKUP(2,1/(N$9:N190="T"),D$9:D190),"")))</f>
        <v/>
      </c>
      <c r="N190" t="str">
        <f t="shared" si="8"/>
        <v/>
      </c>
      <c r="O190" t="str">
        <f>IF(M190="","",IF(COUNTIF(M$9:M190,M190)=1,MAX(O$8:O189)+1,""))</f>
        <v/>
      </c>
    </row>
    <row r="191" spans="1:15" x14ac:dyDescent="0.75">
      <c r="A191" s="24" t="str">
        <f>IF(N191="W",COUNTIF(N$9:N191,"W"),"")</f>
        <v/>
      </c>
      <c r="B191" s="25"/>
      <c r="C191" s="25"/>
      <c r="D191" s="26"/>
      <c r="E191" s="25"/>
      <c r="F191" s="27"/>
      <c r="G191" s="28"/>
      <c r="H191" s="28"/>
      <c r="I191" s="29" t="str">
        <f t="shared" si="6"/>
        <v/>
      </c>
      <c r="J191" s="30" t="str">
        <f t="shared" si="7"/>
        <v/>
      </c>
      <c r="K191" s="26"/>
      <c r="L191" s="24" t="str">
        <f>IF(N191="","",IF(N191="T","Título de capítulo",IF(OR(ISERROR(F191),ISERROR(G191),ISERROR(H191)),"Error en fórmula: pegá como valores",IF(AND(B191="",$C$6=""),"Falta sector",IF(M191="","Falta capítulo",IF(TRIM(E191)="","Falta unidad",IF(NOT((COUNTIF(Listas!$A$2:$A$40,E191)+COUNTIF(Listas!$D$2:$D$60,E191)&gt;0)),"Unidad no reconocida",IF(AND(F191&lt;&gt;"",NOT(ISNUMBER(F191))),"Cantidad no es número",IF(N(F191)&lt;=0,"Falta cantidad",IF(OR(AND(G191&lt;&gt;"",NOT(ISNUMBER(G191))),AND(H191&lt;&gt;"",NOT(ISNUMBER(H191)))),"Precio no es número",IF(N(G191)+N(H191)&lt;=0,"Falta precio","✓ OK")))))))))))</f>
        <v/>
      </c>
      <c r="M191" t="str">
        <f>IF(N191&lt;&gt;"W","",IF(TRIM(C191)&lt;&gt;"",TRIM(C191),IFERROR(LOOKUP(2,1/(N$9:N191="T"),D$9:D191),"")))</f>
        <v/>
      </c>
      <c r="N191" t="str">
        <f t="shared" si="8"/>
        <v/>
      </c>
      <c r="O191" t="str">
        <f>IF(M191="","",IF(COUNTIF(M$9:M191,M191)=1,MAX(O$8:O190)+1,""))</f>
        <v/>
      </c>
    </row>
    <row r="192" spans="1:15" x14ac:dyDescent="0.75">
      <c r="A192" s="24" t="str">
        <f>IF(N192="W",COUNTIF(N$9:N192,"W"),"")</f>
        <v/>
      </c>
      <c r="B192" s="25"/>
      <c r="C192" s="25"/>
      <c r="D192" s="26"/>
      <c r="E192" s="25"/>
      <c r="F192" s="27"/>
      <c r="G192" s="28"/>
      <c r="H192" s="28"/>
      <c r="I192" s="29" t="str">
        <f t="shared" si="6"/>
        <v/>
      </c>
      <c r="J192" s="30" t="str">
        <f t="shared" si="7"/>
        <v/>
      </c>
      <c r="K192" s="26"/>
      <c r="L192" s="24" t="str">
        <f>IF(N192="","",IF(N192="T","Título de capítulo",IF(OR(ISERROR(F192),ISERROR(G192),ISERROR(H192)),"Error en fórmula: pegá como valores",IF(AND(B192="",$C$6=""),"Falta sector",IF(M192="","Falta capítulo",IF(TRIM(E192)="","Falta unidad",IF(NOT((COUNTIF(Listas!$A$2:$A$40,E192)+COUNTIF(Listas!$D$2:$D$60,E192)&gt;0)),"Unidad no reconocida",IF(AND(F192&lt;&gt;"",NOT(ISNUMBER(F192))),"Cantidad no es número",IF(N(F192)&lt;=0,"Falta cantidad",IF(OR(AND(G192&lt;&gt;"",NOT(ISNUMBER(G192))),AND(H192&lt;&gt;"",NOT(ISNUMBER(H192)))),"Precio no es número",IF(N(G192)+N(H192)&lt;=0,"Falta precio","✓ OK")))))))))))</f>
        <v/>
      </c>
      <c r="M192" t="str">
        <f>IF(N192&lt;&gt;"W","",IF(TRIM(C192)&lt;&gt;"",TRIM(C192),IFERROR(LOOKUP(2,1/(N$9:N192="T"),D$9:D192),"")))</f>
        <v/>
      </c>
      <c r="N192" t="str">
        <f t="shared" si="8"/>
        <v/>
      </c>
      <c r="O192" t="str">
        <f>IF(M192="","",IF(COUNTIF(M$9:M192,M192)=1,MAX(O$8:O191)+1,""))</f>
        <v/>
      </c>
    </row>
    <row r="193" spans="1:15" x14ac:dyDescent="0.75">
      <c r="A193" s="24" t="str">
        <f>IF(N193="W",COUNTIF(N$9:N193,"W"),"")</f>
        <v/>
      </c>
      <c r="B193" s="25"/>
      <c r="C193" s="25"/>
      <c r="D193" s="26"/>
      <c r="E193" s="25"/>
      <c r="F193" s="27"/>
      <c r="G193" s="28"/>
      <c r="H193" s="28"/>
      <c r="I193" s="29" t="str">
        <f t="shared" si="6"/>
        <v/>
      </c>
      <c r="J193" s="30" t="str">
        <f t="shared" si="7"/>
        <v/>
      </c>
      <c r="K193" s="26"/>
      <c r="L193" s="24" t="str">
        <f>IF(N193="","",IF(N193="T","Título de capítulo",IF(OR(ISERROR(F193),ISERROR(G193),ISERROR(H193)),"Error en fórmula: pegá como valores",IF(AND(B193="",$C$6=""),"Falta sector",IF(M193="","Falta capítulo",IF(TRIM(E193)="","Falta unidad",IF(NOT((COUNTIF(Listas!$A$2:$A$40,E193)+COUNTIF(Listas!$D$2:$D$60,E193)&gt;0)),"Unidad no reconocida",IF(AND(F193&lt;&gt;"",NOT(ISNUMBER(F193))),"Cantidad no es número",IF(N(F193)&lt;=0,"Falta cantidad",IF(OR(AND(G193&lt;&gt;"",NOT(ISNUMBER(G193))),AND(H193&lt;&gt;"",NOT(ISNUMBER(H193)))),"Precio no es número",IF(N(G193)+N(H193)&lt;=0,"Falta precio","✓ OK")))))))))))</f>
        <v/>
      </c>
      <c r="M193" t="str">
        <f>IF(N193&lt;&gt;"W","",IF(TRIM(C193)&lt;&gt;"",TRIM(C193),IFERROR(LOOKUP(2,1/(N$9:N193="T"),D$9:D193),"")))</f>
        <v/>
      </c>
      <c r="N193" t="str">
        <f t="shared" si="8"/>
        <v/>
      </c>
      <c r="O193" t="str">
        <f>IF(M193="","",IF(COUNTIF(M$9:M193,M193)=1,MAX(O$8:O192)+1,""))</f>
        <v/>
      </c>
    </row>
    <row r="194" spans="1:15" x14ac:dyDescent="0.75">
      <c r="A194" s="24" t="str">
        <f>IF(N194="W",COUNTIF(N$9:N194,"W"),"")</f>
        <v/>
      </c>
      <c r="B194" s="25"/>
      <c r="C194" s="25"/>
      <c r="D194" s="26"/>
      <c r="E194" s="25"/>
      <c r="F194" s="27"/>
      <c r="G194" s="28"/>
      <c r="H194" s="28"/>
      <c r="I194" s="29" t="str">
        <f t="shared" si="6"/>
        <v/>
      </c>
      <c r="J194" s="30" t="str">
        <f t="shared" si="7"/>
        <v/>
      </c>
      <c r="K194" s="26"/>
      <c r="L194" s="24" t="str">
        <f>IF(N194="","",IF(N194="T","Título de capítulo",IF(OR(ISERROR(F194),ISERROR(G194),ISERROR(H194)),"Error en fórmula: pegá como valores",IF(AND(B194="",$C$6=""),"Falta sector",IF(M194="","Falta capítulo",IF(TRIM(E194)="","Falta unidad",IF(NOT((COUNTIF(Listas!$A$2:$A$40,E194)+COUNTIF(Listas!$D$2:$D$60,E194)&gt;0)),"Unidad no reconocida",IF(AND(F194&lt;&gt;"",NOT(ISNUMBER(F194))),"Cantidad no es número",IF(N(F194)&lt;=0,"Falta cantidad",IF(OR(AND(G194&lt;&gt;"",NOT(ISNUMBER(G194))),AND(H194&lt;&gt;"",NOT(ISNUMBER(H194)))),"Precio no es número",IF(N(G194)+N(H194)&lt;=0,"Falta precio","✓ OK")))))))))))</f>
        <v/>
      </c>
      <c r="M194" t="str">
        <f>IF(N194&lt;&gt;"W","",IF(TRIM(C194)&lt;&gt;"",TRIM(C194),IFERROR(LOOKUP(2,1/(N$9:N194="T"),D$9:D194),"")))</f>
        <v/>
      </c>
      <c r="N194" t="str">
        <f t="shared" si="8"/>
        <v/>
      </c>
      <c r="O194" t="str">
        <f>IF(M194="","",IF(COUNTIF(M$9:M194,M194)=1,MAX(O$8:O193)+1,""))</f>
        <v/>
      </c>
    </row>
    <row r="195" spans="1:15" x14ac:dyDescent="0.75">
      <c r="A195" s="24" t="str">
        <f>IF(N195="W",COUNTIF(N$9:N195,"W"),"")</f>
        <v/>
      </c>
      <c r="B195" s="25"/>
      <c r="C195" s="25"/>
      <c r="D195" s="26"/>
      <c r="E195" s="25"/>
      <c r="F195" s="27"/>
      <c r="G195" s="28"/>
      <c r="H195" s="28"/>
      <c r="I195" s="29" t="str">
        <f t="shared" si="6"/>
        <v/>
      </c>
      <c r="J195" s="30" t="str">
        <f t="shared" si="7"/>
        <v/>
      </c>
      <c r="K195" s="26"/>
      <c r="L195" s="24" t="str">
        <f>IF(N195="","",IF(N195="T","Título de capítulo",IF(OR(ISERROR(F195),ISERROR(G195),ISERROR(H195)),"Error en fórmula: pegá como valores",IF(AND(B195="",$C$6=""),"Falta sector",IF(M195="","Falta capítulo",IF(TRIM(E195)="","Falta unidad",IF(NOT((COUNTIF(Listas!$A$2:$A$40,E195)+COUNTIF(Listas!$D$2:$D$60,E195)&gt;0)),"Unidad no reconocida",IF(AND(F195&lt;&gt;"",NOT(ISNUMBER(F195))),"Cantidad no es número",IF(N(F195)&lt;=0,"Falta cantidad",IF(OR(AND(G195&lt;&gt;"",NOT(ISNUMBER(G195))),AND(H195&lt;&gt;"",NOT(ISNUMBER(H195)))),"Precio no es número",IF(N(G195)+N(H195)&lt;=0,"Falta precio","✓ OK")))))))))))</f>
        <v/>
      </c>
      <c r="M195" t="str">
        <f>IF(N195&lt;&gt;"W","",IF(TRIM(C195)&lt;&gt;"",TRIM(C195),IFERROR(LOOKUP(2,1/(N$9:N195="T"),D$9:D195),"")))</f>
        <v/>
      </c>
      <c r="N195" t="str">
        <f t="shared" si="8"/>
        <v/>
      </c>
      <c r="O195" t="str">
        <f>IF(M195="","",IF(COUNTIF(M$9:M195,M195)=1,MAX(O$8:O194)+1,""))</f>
        <v/>
      </c>
    </row>
    <row r="196" spans="1:15" x14ac:dyDescent="0.75">
      <c r="A196" s="24" t="str">
        <f>IF(N196="W",COUNTIF(N$9:N196,"W"),"")</f>
        <v/>
      </c>
      <c r="B196" s="25"/>
      <c r="C196" s="25"/>
      <c r="D196" s="26"/>
      <c r="E196" s="25"/>
      <c r="F196" s="27"/>
      <c r="G196" s="28"/>
      <c r="H196" s="28"/>
      <c r="I196" s="29" t="str">
        <f t="shared" si="6"/>
        <v/>
      </c>
      <c r="J196" s="30" t="str">
        <f t="shared" si="7"/>
        <v/>
      </c>
      <c r="K196" s="26"/>
      <c r="L196" s="24" t="str">
        <f>IF(N196="","",IF(N196="T","Título de capítulo",IF(OR(ISERROR(F196),ISERROR(G196),ISERROR(H196)),"Error en fórmula: pegá como valores",IF(AND(B196="",$C$6=""),"Falta sector",IF(M196="","Falta capítulo",IF(TRIM(E196)="","Falta unidad",IF(NOT((COUNTIF(Listas!$A$2:$A$40,E196)+COUNTIF(Listas!$D$2:$D$60,E196)&gt;0)),"Unidad no reconocida",IF(AND(F196&lt;&gt;"",NOT(ISNUMBER(F196))),"Cantidad no es número",IF(N(F196)&lt;=0,"Falta cantidad",IF(OR(AND(G196&lt;&gt;"",NOT(ISNUMBER(G196))),AND(H196&lt;&gt;"",NOT(ISNUMBER(H196)))),"Precio no es número",IF(N(G196)+N(H196)&lt;=0,"Falta precio","✓ OK")))))))))))</f>
        <v/>
      </c>
      <c r="M196" t="str">
        <f>IF(N196&lt;&gt;"W","",IF(TRIM(C196)&lt;&gt;"",TRIM(C196),IFERROR(LOOKUP(2,1/(N$9:N196="T"),D$9:D196),"")))</f>
        <v/>
      </c>
      <c r="N196" t="str">
        <f t="shared" si="8"/>
        <v/>
      </c>
      <c r="O196" t="str">
        <f>IF(M196="","",IF(COUNTIF(M$9:M196,M196)=1,MAX(O$8:O195)+1,""))</f>
        <v/>
      </c>
    </row>
    <row r="197" spans="1:15" x14ac:dyDescent="0.75">
      <c r="A197" s="24" t="str">
        <f>IF(N197="W",COUNTIF(N$9:N197,"W"),"")</f>
        <v/>
      </c>
      <c r="B197" s="25"/>
      <c r="C197" s="25"/>
      <c r="D197" s="26"/>
      <c r="E197" s="25"/>
      <c r="F197" s="27"/>
      <c r="G197" s="28"/>
      <c r="H197" s="28"/>
      <c r="I197" s="29" t="str">
        <f t="shared" si="6"/>
        <v/>
      </c>
      <c r="J197" s="30" t="str">
        <f t="shared" si="7"/>
        <v/>
      </c>
      <c r="K197" s="26"/>
      <c r="L197" s="24" t="str">
        <f>IF(N197="","",IF(N197="T","Título de capítulo",IF(OR(ISERROR(F197),ISERROR(G197),ISERROR(H197)),"Error en fórmula: pegá como valores",IF(AND(B197="",$C$6=""),"Falta sector",IF(M197="","Falta capítulo",IF(TRIM(E197)="","Falta unidad",IF(NOT((COUNTIF(Listas!$A$2:$A$40,E197)+COUNTIF(Listas!$D$2:$D$60,E197)&gt;0)),"Unidad no reconocida",IF(AND(F197&lt;&gt;"",NOT(ISNUMBER(F197))),"Cantidad no es número",IF(N(F197)&lt;=0,"Falta cantidad",IF(OR(AND(G197&lt;&gt;"",NOT(ISNUMBER(G197))),AND(H197&lt;&gt;"",NOT(ISNUMBER(H197)))),"Precio no es número",IF(N(G197)+N(H197)&lt;=0,"Falta precio","✓ OK")))))))))))</f>
        <v/>
      </c>
      <c r="M197" t="str">
        <f>IF(N197&lt;&gt;"W","",IF(TRIM(C197)&lt;&gt;"",TRIM(C197),IFERROR(LOOKUP(2,1/(N$9:N197="T"),D$9:D197),"")))</f>
        <v/>
      </c>
      <c r="N197" t="str">
        <f t="shared" si="8"/>
        <v/>
      </c>
      <c r="O197" t="str">
        <f>IF(M197="","",IF(COUNTIF(M$9:M197,M197)=1,MAX(O$8:O196)+1,""))</f>
        <v/>
      </c>
    </row>
    <row r="198" spans="1:15" x14ac:dyDescent="0.75">
      <c r="A198" s="24" t="str">
        <f>IF(N198="W",COUNTIF(N$9:N198,"W"),"")</f>
        <v/>
      </c>
      <c r="B198" s="25"/>
      <c r="C198" s="25"/>
      <c r="D198" s="26"/>
      <c r="E198" s="25"/>
      <c r="F198" s="27"/>
      <c r="G198" s="28"/>
      <c r="H198" s="28"/>
      <c r="I198" s="29" t="str">
        <f t="shared" si="6"/>
        <v/>
      </c>
      <c r="J198" s="30" t="str">
        <f t="shared" si="7"/>
        <v/>
      </c>
      <c r="K198" s="26"/>
      <c r="L198" s="24" t="str">
        <f>IF(N198="","",IF(N198="T","Título de capítulo",IF(OR(ISERROR(F198),ISERROR(G198),ISERROR(H198)),"Error en fórmula: pegá como valores",IF(AND(B198="",$C$6=""),"Falta sector",IF(M198="","Falta capítulo",IF(TRIM(E198)="","Falta unidad",IF(NOT((COUNTIF(Listas!$A$2:$A$40,E198)+COUNTIF(Listas!$D$2:$D$60,E198)&gt;0)),"Unidad no reconocida",IF(AND(F198&lt;&gt;"",NOT(ISNUMBER(F198))),"Cantidad no es número",IF(N(F198)&lt;=0,"Falta cantidad",IF(OR(AND(G198&lt;&gt;"",NOT(ISNUMBER(G198))),AND(H198&lt;&gt;"",NOT(ISNUMBER(H198)))),"Precio no es número",IF(N(G198)+N(H198)&lt;=0,"Falta precio","✓ OK")))))))))))</f>
        <v/>
      </c>
      <c r="M198" t="str">
        <f>IF(N198&lt;&gt;"W","",IF(TRIM(C198)&lt;&gt;"",TRIM(C198),IFERROR(LOOKUP(2,1/(N$9:N198="T"),D$9:D198),"")))</f>
        <v/>
      </c>
      <c r="N198" t="str">
        <f t="shared" si="8"/>
        <v/>
      </c>
      <c r="O198" t="str">
        <f>IF(M198="","",IF(COUNTIF(M$9:M198,M198)=1,MAX(O$8:O197)+1,""))</f>
        <v/>
      </c>
    </row>
    <row r="199" spans="1:15" x14ac:dyDescent="0.75">
      <c r="A199" s="24" t="str">
        <f>IF(N199="W",COUNTIF(N$9:N199,"W"),"")</f>
        <v/>
      </c>
      <c r="B199" s="25"/>
      <c r="C199" s="25"/>
      <c r="D199" s="26"/>
      <c r="E199" s="25"/>
      <c r="F199" s="27"/>
      <c r="G199" s="28"/>
      <c r="H199" s="28"/>
      <c r="I199" s="29" t="str">
        <f t="shared" si="6"/>
        <v/>
      </c>
      <c r="J199" s="30" t="str">
        <f t="shared" si="7"/>
        <v/>
      </c>
      <c r="K199" s="26"/>
      <c r="L199" s="24" t="str">
        <f>IF(N199="","",IF(N199="T","Título de capítulo",IF(OR(ISERROR(F199),ISERROR(G199),ISERROR(H199)),"Error en fórmula: pegá como valores",IF(AND(B199="",$C$6=""),"Falta sector",IF(M199="","Falta capítulo",IF(TRIM(E199)="","Falta unidad",IF(NOT((COUNTIF(Listas!$A$2:$A$40,E199)+COUNTIF(Listas!$D$2:$D$60,E199)&gt;0)),"Unidad no reconocida",IF(AND(F199&lt;&gt;"",NOT(ISNUMBER(F199))),"Cantidad no es número",IF(N(F199)&lt;=0,"Falta cantidad",IF(OR(AND(G199&lt;&gt;"",NOT(ISNUMBER(G199))),AND(H199&lt;&gt;"",NOT(ISNUMBER(H199)))),"Precio no es número",IF(N(G199)+N(H199)&lt;=0,"Falta precio","✓ OK")))))))))))</f>
        <v/>
      </c>
      <c r="M199" t="str">
        <f>IF(N199&lt;&gt;"W","",IF(TRIM(C199)&lt;&gt;"",TRIM(C199),IFERROR(LOOKUP(2,1/(N$9:N199="T"),D$9:D199),"")))</f>
        <v/>
      </c>
      <c r="N199" t="str">
        <f t="shared" si="8"/>
        <v/>
      </c>
      <c r="O199" t="str">
        <f>IF(M199="","",IF(COUNTIF(M$9:M199,M199)=1,MAX(O$8:O198)+1,""))</f>
        <v/>
      </c>
    </row>
    <row r="200" spans="1:15" x14ac:dyDescent="0.75">
      <c r="A200" s="24" t="str">
        <f>IF(N200="W",COUNTIF(N$9:N200,"W"),"")</f>
        <v/>
      </c>
      <c r="B200" s="25"/>
      <c r="C200" s="25"/>
      <c r="D200" s="26"/>
      <c r="E200" s="25"/>
      <c r="F200" s="27"/>
      <c r="G200" s="28"/>
      <c r="H200" s="28"/>
      <c r="I200" s="29" t="str">
        <f t="shared" si="6"/>
        <v/>
      </c>
      <c r="J200" s="30" t="str">
        <f t="shared" si="7"/>
        <v/>
      </c>
      <c r="K200" s="26"/>
      <c r="L200" s="24" t="str">
        <f>IF(N200="","",IF(N200="T","Título de capítulo",IF(OR(ISERROR(F200),ISERROR(G200),ISERROR(H200)),"Error en fórmula: pegá como valores",IF(AND(B200="",$C$6=""),"Falta sector",IF(M200="","Falta capítulo",IF(TRIM(E200)="","Falta unidad",IF(NOT((COUNTIF(Listas!$A$2:$A$40,E200)+COUNTIF(Listas!$D$2:$D$60,E200)&gt;0)),"Unidad no reconocida",IF(AND(F200&lt;&gt;"",NOT(ISNUMBER(F200))),"Cantidad no es número",IF(N(F200)&lt;=0,"Falta cantidad",IF(OR(AND(G200&lt;&gt;"",NOT(ISNUMBER(G200))),AND(H200&lt;&gt;"",NOT(ISNUMBER(H200)))),"Precio no es número",IF(N(G200)+N(H200)&lt;=0,"Falta precio","✓ OK")))))))))))</f>
        <v/>
      </c>
      <c r="M200" t="str">
        <f>IF(N200&lt;&gt;"W","",IF(TRIM(C200)&lt;&gt;"",TRIM(C200),IFERROR(LOOKUP(2,1/(N$9:N200="T"),D$9:D200),"")))</f>
        <v/>
      </c>
      <c r="N200" t="str">
        <f t="shared" si="8"/>
        <v/>
      </c>
      <c r="O200" t="str">
        <f>IF(M200="","",IF(COUNTIF(M$9:M200,M200)=1,MAX(O$8:O199)+1,""))</f>
        <v/>
      </c>
    </row>
    <row r="201" spans="1:15" x14ac:dyDescent="0.75">
      <c r="A201" s="24" t="str">
        <f>IF(N201="W",COUNTIF(N$9:N201,"W"),"")</f>
        <v/>
      </c>
      <c r="B201" s="25"/>
      <c r="C201" s="25"/>
      <c r="D201" s="26"/>
      <c r="E201" s="25"/>
      <c r="F201" s="27"/>
      <c r="G201" s="28"/>
      <c r="H201" s="28"/>
      <c r="I201" s="29" t="str">
        <f t="shared" ref="I201:I264" si="9">IF(N201="W",IFERROR(N(G201)+N(H201),0),"")</f>
        <v/>
      </c>
      <c r="J201" s="30" t="str">
        <f t="shared" ref="J201:J264" si="10">IF(N201="W",IFERROR(N(F201)*I201,0),"")</f>
        <v/>
      </c>
      <c r="K201" s="26"/>
      <c r="L201" s="24" t="str">
        <f>IF(N201="","",IF(N201="T","Título de capítulo",IF(OR(ISERROR(F201),ISERROR(G201),ISERROR(H201)),"Error en fórmula: pegá como valores",IF(AND(B201="",$C$6=""),"Falta sector",IF(M201="","Falta capítulo",IF(TRIM(E201)="","Falta unidad",IF(NOT((COUNTIF(Listas!$A$2:$A$40,E201)+COUNTIF(Listas!$D$2:$D$60,E201)&gt;0)),"Unidad no reconocida",IF(AND(F201&lt;&gt;"",NOT(ISNUMBER(F201))),"Cantidad no es número",IF(N(F201)&lt;=0,"Falta cantidad",IF(OR(AND(G201&lt;&gt;"",NOT(ISNUMBER(G201))),AND(H201&lt;&gt;"",NOT(ISNUMBER(H201)))),"Precio no es número",IF(N(G201)+N(H201)&lt;=0,"Falta precio","✓ OK")))))))))))</f>
        <v/>
      </c>
      <c r="M201" t="str">
        <f>IF(N201&lt;&gt;"W","",IF(TRIM(C201)&lt;&gt;"",TRIM(C201),IFERROR(LOOKUP(2,1/(N$9:N201="T"),D$9:D201),"")))</f>
        <v/>
      </c>
      <c r="N201" t="str">
        <f t="shared" ref="N201:N264" si="11">IF(TRIM(D201)="","",IF(AND(TRIM(E201)="",IFERROR(N(F201),1)=0,IFERROR(N(G201)+N(H201),1)=0),"T","W"))</f>
        <v/>
      </c>
      <c r="O201" t="str">
        <f>IF(M201="","",IF(COUNTIF(M$9:M201,M201)=1,MAX(O$8:O200)+1,""))</f>
        <v/>
      </c>
    </row>
    <row r="202" spans="1:15" x14ac:dyDescent="0.75">
      <c r="A202" s="24" t="str">
        <f>IF(N202="W",COUNTIF(N$9:N202,"W"),"")</f>
        <v/>
      </c>
      <c r="B202" s="25"/>
      <c r="C202" s="25"/>
      <c r="D202" s="26"/>
      <c r="E202" s="25"/>
      <c r="F202" s="27"/>
      <c r="G202" s="28"/>
      <c r="H202" s="28"/>
      <c r="I202" s="29" t="str">
        <f t="shared" si="9"/>
        <v/>
      </c>
      <c r="J202" s="30" t="str">
        <f t="shared" si="10"/>
        <v/>
      </c>
      <c r="K202" s="26"/>
      <c r="L202" s="24" t="str">
        <f>IF(N202="","",IF(N202="T","Título de capítulo",IF(OR(ISERROR(F202),ISERROR(G202),ISERROR(H202)),"Error en fórmula: pegá como valores",IF(AND(B202="",$C$6=""),"Falta sector",IF(M202="","Falta capítulo",IF(TRIM(E202)="","Falta unidad",IF(NOT((COUNTIF(Listas!$A$2:$A$40,E202)+COUNTIF(Listas!$D$2:$D$60,E202)&gt;0)),"Unidad no reconocida",IF(AND(F202&lt;&gt;"",NOT(ISNUMBER(F202))),"Cantidad no es número",IF(N(F202)&lt;=0,"Falta cantidad",IF(OR(AND(G202&lt;&gt;"",NOT(ISNUMBER(G202))),AND(H202&lt;&gt;"",NOT(ISNUMBER(H202)))),"Precio no es número",IF(N(G202)+N(H202)&lt;=0,"Falta precio","✓ OK")))))))))))</f>
        <v/>
      </c>
      <c r="M202" t="str">
        <f>IF(N202&lt;&gt;"W","",IF(TRIM(C202)&lt;&gt;"",TRIM(C202),IFERROR(LOOKUP(2,1/(N$9:N202="T"),D$9:D202),"")))</f>
        <v/>
      </c>
      <c r="N202" t="str">
        <f t="shared" si="11"/>
        <v/>
      </c>
      <c r="O202" t="str">
        <f>IF(M202="","",IF(COUNTIF(M$9:M202,M202)=1,MAX(O$8:O201)+1,""))</f>
        <v/>
      </c>
    </row>
    <row r="203" spans="1:15" x14ac:dyDescent="0.75">
      <c r="A203" s="24" t="str">
        <f>IF(N203="W",COUNTIF(N$9:N203,"W"),"")</f>
        <v/>
      </c>
      <c r="B203" s="25"/>
      <c r="C203" s="25"/>
      <c r="D203" s="26"/>
      <c r="E203" s="25"/>
      <c r="F203" s="27"/>
      <c r="G203" s="28"/>
      <c r="H203" s="28"/>
      <c r="I203" s="29" t="str">
        <f t="shared" si="9"/>
        <v/>
      </c>
      <c r="J203" s="30" t="str">
        <f t="shared" si="10"/>
        <v/>
      </c>
      <c r="K203" s="26"/>
      <c r="L203" s="24" t="str">
        <f>IF(N203="","",IF(N203="T","Título de capítulo",IF(OR(ISERROR(F203),ISERROR(G203),ISERROR(H203)),"Error en fórmula: pegá como valores",IF(AND(B203="",$C$6=""),"Falta sector",IF(M203="","Falta capítulo",IF(TRIM(E203)="","Falta unidad",IF(NOT((COUNTIF(Listas!$A$2:$A$40,E203)+COUNTIF(Listas!$D$2:$D$60,E203)&gt;0)),"Unidad no reconocida",IF(AND(F203&lt;&gt;"",NOT(ISNUMBER(F203))),"Cantidad no es número",IF(N(F203)&lt;=0,"Falta cantidad",IF(OR(AND(G203&lt;&gt;"",NOT(ISNUMBER(G203))),AND(H203&lt;&gt;"",NOT(ISNUMBER(H203)))),"Precio no es número",IF(N(G203)+N(H203)&lt;=0,"Falta precio","✓ OK")))))))))))</f>
        <v/>
      </c>
      <c r="M203" t="str">
        <f>IF(N203&lt;&gt;"W","",IF(TRIM(C203)&lt;&gt;"",TRIM(C203),IFERROR(LOOKUP(2,1/(N$9:N203="T"),D$9:D203),"")))</f>
        <v/>
      </c>
      <c r="N203" t="str">
        <f t="shared" si="11"/>
        <v/>
      </c>
      <c r="O203" t="str">
        <f>IF(M203="","",IF(COUNTIF(M$9:M203,M203)=1,MAX(O$8:O202)+1,""))</f>
        <v/>
      </c>
    </row>
    <row r="204" spans="1:15" x14ac:dyDescent="0.75">
      <c r="A204" s="24" t="str">
        <f>IF(N204="W",COUNTIF(N$9:N204,"W"),"")</f>
        <v/>
      </c>
      <c r="B204" s="25"/>
      <c r="C204" s="25"/>
      <c r="D204" s="26"/>
      <c r="E204" s="25"/>
      <c r="F204" s="27"/>
      <c r="G204" s="28"/>
      <c r="H204" s="28"/>
      <c r="I204" s="29" t="str">
        <f t="shared" si="9"/>
        <v/>
      </c>
      <c r="J204" s="30" t="str">
        <f t="shared" si="10"/>
        <v/>
      </c>
      <c r="K204" s="26"/>
      <c r="L204" s="24" t="str">
        <f>IF(N204="","",IF(N204="T","Título de capítulo",IF(OR(ISERROR(F204),ISERROR(G204),ISERROR(H204)),"Error en fórmula: pegá como valores",IF(AND(B204="",$C$6=""),"Falta sector",IF(M204="","Falta capítulo",IF(TRIM(E204)="","Falta unidad",IF(NOT((COUNTIF(Listas!$A$2:$A$40,E204)+COUNTIF(Listas!$D$2:$D$60,E204)&gt;0)),"Unidad no reconocida",IF(AND(F204&lt;&gt;"",NOT(ISNUMBER(F204))),"Cantidad no es número",IF(N(F204)&lt;=0,"Falta cantidad",IF(OR(AND(G204&lt;&gt;"",NOT(ISNUMBER(G204))),AND(H204&lt;&gt;"",NOT(ISNUMBER(H204)))),"Precio no es número",IF(N(G204)+N(H204)&lt;=0,"Falta precio","✓ OK")))))))))))</f>
        <v/>
      </c>
      <c r="M204" t="str">
        <f>IF(N204&lt;&gt;"W","",IF(TRIM(C204)&lt;&gt;"",TRIM(C204),IFERROR(LOOKUP(2,1/(N$9:N204="T"),D$9:D204),"")))</f>
        <v/>
      </c>
      <c r="N204" t="str">
        <f t="shared" si="11"/>
        <v/>
      </c>
      <c r="O204" t="str">
        <f>IF(M204="","",IF(COUNTIF(M$9:M204,M204)=1,MAX(O$8:O203)+1,""))</f>
        <v/>
      </c>
    </row>
    <row r="205" spans="1:15" x14ac:dyDescent="0.75">
      <c r="A205" s="24" t="str">
        <f>IF(N205="W",COUNTIF(N$9:N205,"W"),"")</f>
        <v/>
      </c>
      <c r="B205" s="25"/>
      <c r="C205" s="25"/>
      <c r="D205" s="26"/>
      <c r="E205" s="25"/>
      <c r="F205" s="27"/>
      <c r="G205" s="28"/>
      <c r="H205" s="28"/>
      <c r="I205" s="29" t="str">
        <f t="shared" si="9"/>
        <v/>
      </c>
      <c r="J205" s="30" t="str">
        <f t="shared" si="10"/>
        <v/>
      </c>
      <c r="K205" s="26"/>
      <c r="L205" s="24" t="str">
        <f>IF(N205="","",IF(N205="T","Título de capítulo",IF(OR(ISERROR(F205),ISERROR(G205),ISERROR(H205)),"Error en fórmula: pegá como valores",IF(AND(B205="",$C$6=""),"Falta sector",IF(M205="","Falta capítulo",IF(TRIM(E205)="","Falta unidad",IF(NOT((COUNTIF(Listas!$A$2:$A$40,E205)+COUNTIF(Listas!$D$2:$D$60,E205)&gt;0)),"Unidad no reconocida",IF(AND(F205&lt;&gt;"",NOT(ISNUMBER(F205))),"Cantidad no es número",IF(N(F205)&lt;=0,"Falta cantidad",IF(OR(AND(G205&lt;&gt;"",NOT(ISNUMBER(G205))),AND(H205&lt;&gt;"",NOT(ISNUMBER(H205)))),"Precio no es número",IF(N(G205)+N(H205)&lt;=0,"Falta precio","✓ OK")))))))))))</f>
        <v/>
      </c>
      <c r="M205" t="str">
        <f>IF(N205&lt;&gt;"W","",IF(TRIM(C205)&lt;&gt;"",TRIM(C205),IFERROR(LOOKUP(2,1/(N$9:N205="T"),D$9:D205),"")))</f>
        <v/>
      </c>
      <c r="N205" t="str">
        <f t="shared" si="11"/>
        <v/>
      </c>
      <c r="O205" t="str">
        <f>IF(M205="","",IF(COUNTIF(M$9:M205,M205)=1,MAX(O$8:O204)+1,""))</f>
        <v/>
      </c>
    </row>
    <row r="206" spans="1:15" x14ac:dyDescent="0.75">
      <c r="A206" s="24" t="str">
        <f>IF(N206="W",COUNTIF(N$9:N206,"W"),"")</f>
        <v/>
      </c>
      <c r="B206" s="25"/>
      <c r="C206" s="25"/>
      <c r="D206" s="26"/>
      <c r="E206" s="25"/>
      <c r="F206" s="27"/>
      <c r="G206" s="28"/>
      <c r="H206" s="28"/>
      <c r="I206" s="29" t="str">
        <f t="shared" si="9"/>
        <v/>
      </c>
      <c r="J206" s="30" t="str">
        <f t="shared" si="10"/>
        <v/>
      </c>
      <c r="K206" s="26"/>
      <c r="L206" s="24" t="str">
        <f>IF(N206="","",IF(N206="T","Título de capítulo",IF(OR(ISERROR(F206),ISERROR(G206),ISERROR(H206)),"Error en fórmula: pegá como valores",IF(AND(B206="",$C$6=""),"Falta sector",IF(M206="","Falta capítulo",IF(TRIM(E206)="","Falta unidad",IF(NOT((COUNTIF(Listas!$A$2:$A$40,E206)+COUNTIF(Listas!$D$2:$D$60,E206)&gt;0)),"Unidad no reconocida",IF(AND(F206&lt;&gt;"",NOT(ISNUMBER(F206))),"Cantidad no es número",IF(N(F206)&lt;=0,"Falta cantidad",IF(OR(AND(G206&lt;&gt;"",NOT(ISNUMBER(G206))),AND(H206&lt;&gt;"",NOT(ISNUMBER(H206)))),"Precio no es número",IF(N(G206)+N(H206)&lt;=0,"Falta precio","✓ OK")))))))))))</f>
        <v/>
      </c>
      <c r="M206" t="str">
        <f>IF(N206&lt;&gt;"W","",IF(TRIM(C206)&lt;&gt;"",TRIM(C206),IFERROR(LOOKUP(2,1/(N$9:N206="T"),D$9:D206),"")))</f>
        <v/>
      </c>
      <c r="N206" t="str">
        <f t="shared" si="11"/>
        <v/>
      </c>
      <c r="O206" t="str">
        <f>IF(M206="","",IF(COUNTIF(M$9:M206,M206)=1,MAX(O$8:O205)+1,""))</f>
        <v/>
      </c>
    </row>
    <row r="207" spans="1:15" x14ac:dyDescent="0.75">
      <c r="A207" s="24" t="str">
        <f>IF(N207="W",COUNTIF(N$9:N207,"W"),"")</f>
        <v/>
      </c>
      <c r="B207" s="25"/>
      <c r="C207" s="25"/>
      <c r="D207" s="26"/>
      <c r="E207" s="25"/>
      <c r="F207" s="27"/>
      <c r="G207" s="28"/>
      <c r="H207" s="28"/>
      <c r="I207" s="29" t="str">
        <f t="shared" si="9"/>
        <v/>
      </c>
      <c r="J207" s="30" t="str">
        <f t="shared" si="10"/>
        <v/>
      </c>
      <c r="K207" s="26"/>
      <c r="L207" s="24" t="str">
        <f>IF(N207="","",IF(N207="T","Título de capítulo",IF(OR(ISERROR(F207),ISERROR(G207),ISERROR(H207)),"Error en fórmula: pegá como valores",IF(AND(B207="",$C$6=""),"Falta sector",IF(M207="","Falta capítulo",IF(TRIM(E207)="","Falta unidad",IF(NOT((COUNTIF(Listas!$A$2:$A$40,E207)+COUNTIF(Listas!$D$2:$D$60,E207)&gt;0)),"Unidad no reconocida",IF(AND(F207&lt;&gt;"",NOT(ISNUMBER(F207))),"Cantidad no es número",IF(N(F207)&lt;=0,"Falta cantidad",IF(OR(AND(G207&lt;&gt;"",NOT(ISNUMBER(G207))),AND(H207&lt;&gt;"",NOT(ISNUMBER(H207)))),"Precio no es número",IF(N(G207)+N(H207)&lt;=0,"Falta precio","✓ OK")))))))))))</f>
        <v/>
      </c>
      <c r="M207" t="str">
        <f>IF(N207&lt;&gt;"W","",IF(TRIM(C207)&lt;&gt;"",TRIM(C207),IFERROR(LOOKUP(2,1/(N$9:N207="T"),D$9:D207),"")))</f>
        <v/>
      </c>
      <c r="N207" t="str">
        <f t="shared" si="11"/>
        <v/>
      </c>
      <c r="O207" t="str">
        <f>IF(M207="","",IF(COUNTIF(M$9:M207,M207)=1,MAX(O$8:O206)+1,""))</f>
        <v/>
      </c>
    </row>
    <row r="208" spans="1:15" x14ac:dyDescent="0.75">
      <c r="A208" s="24" t="str">
        <f>IF(N208="W",COUNTIF(N$9:N208,"W"),"")</f>
        <v/>
      </c>
      <c r="B208" s="25"/>
      <c r="C208" s="25"/>
      <c r="D208" s="26"/>
      <c r="E208" s="25"/>
      <c r="F208" s="27"/>
      <c r="G208" s="28"/>
      <c r="H208" s="28"/>
      <c r="I208" s="29" t="str">
        <f t="shared" si="9"/>
        <v/>
      </c>
      <c r="J208" s="30" t="str">
        <f t="shared" si="10"/>
        <v/>
      </c>
      <c r="K208" s="26"/>
      <c r="L208" s="24" t="str">
        <f>IF(N208="","",IF(N208="T","Título de capítulo",IF(OR(ISERROR(F208),ISERROR(G208),ISERROR(H208)),"Error en fórmula: pegá como valores",IF(AND(B208="",$C$6=""),"Falta sector",IF(M208="","Falta capítulo",IF(TRIM(E208)="","Falta unidad",IF(NOT((COUNTIF(Listas!$A$2:$A$40,E208)+COUNTIF(Listas!$D$2:$D$60,E208)&gt;0)),"Unidad no reconocida",IF(AND(F208&lt;&gt;"",NOT(ISNUMBER(F208))),"Cantidad no es número",IF(N(F208)&lt;=0,"Falta cantidad",IF(OR(AND(G208&lt;&gt;"",NOT(ISNUMBER(G208))),AND(H208&lt;&gt;"",NOT(ISNUMBER(H208)))),"Precio no es número",IF(N(G208)+N(H208)&lt;=0,"Falta precio","✓ OK")))))))))))</f>
        <v/>
      </c>
      <c r="M208" t="str">
        <f>IF(N208&lt;&gt;"W","",IF(TRIM(C208)&lt;&gt;"",TRIM(C208),IFERROR(LOOKUP(2,1/(N$9:N208="T"),D$9:D208),"")))</f>
        <v/>
      </c>
      <c r="N208" t="str">
        <f t="shared" si="11"/>
        <v/>
      </c>
      <c r="O208" t="str">
        <f>IF(M208="","",IF(COUNTIF(M$9:M208,M208)=1,MAX(O$8:O207)+1,""))</f>
        <v/>
      </c>
    </row>
    <row r="209" spans="1:15" x14ac:dyDescent="0.75">
      <c r="A209" s="24" t="str">
        <f>IF(N209="W",COUNTIF(N$9:N209,"W"),"")</f>
        <v/>
      </c>
      <c r="B209" s="25"/>
      <c r="C209" s="25"/>
      <c r="D209" s="26"/>
      <c r="E209" s="25"/>
      <c r="F209" s="27"/>
      <c r="G209" s="28"/>
      <c r="H209" s="28"/>
      <c r="I209" s="29" t="str">
        <f t="shared" si="9"/>
        <v/>
      </c>
      <c r="J209" s="30" t="str">
        <f t="shared" si="10"/>
        <v/>
      </c>
      <c r="K209" s="26"/>
      <c r="L209" s="24" t="str">
        <f>IF(N209="","",IF(N209="T","Título de capítulo",IF(OR(ISERROR(F209),ISERROR(G209),ISERROR(H209)),"Error en fórmula: pegá como valores",IF(AND(B209="",$C$6=""),"Falta sector",IF(M209="","Falta capítulo",IF(TRIM(E209)="","Falta unidad",IF(NOT((COUNTIF(Listas!$A$2:$A$40,E209)+COUNTIF(Listas!$D$2:$D$60,E209)&gt;0)),"Unidad no reconocida",IF(AND(F209&lt;&gt;"",NOT(ISNUMBER(F209))),"Cantidad no es número",IF(N(F209)&lt;=0,"Falta cantidad",IF(OR(AND(G209&lt;&gt;"",NOT(ISNUMBER(G209))),AND(H209&lt;&gt;"",NOT(ISNUMBER(H209)))),"Precio no es número",IF(N(G209)+N(H209)&lt;=0,"Falta precio","✓ OK")))))))))))</f>
        <v/>
      </c>
      <c r="M209" t="str">
        <f>IF(N209&lt;&gt;"W","",IF(TRIM(C209)&lt;&gt;"",TRIM(C209),IFERROR(LOOKUP(2,1/(N$9:N209="T"),D$9:D209),"")))</f>
        <v/>
      </c>
      <c r="N209" t="str">
        <f t="shared" si="11"/>
        <v/>
      </c>
      <c r="O209" t="str">
        <f>IF(M209="","",IF(COUNTIF(M$9:M209,M209)=1,MAX(O$8:O208)+1,""))</f>
        <v/>
      </c>
    </row>
    <row r="210" spans="1:15" x14ac:dyDescent="0.75">
      <c r="A210" s="24" t="str">
        <f>IF(N210="W",COUNTIF(N$9:N210,"W"),"")</f>
        <v/>
      </c>
      <c r="B210" s="25"/>
      <c r="C210" s="25"/>
      <c r="D210" s="26"/>
      <c r="E210" s="25"/>
      <c r="F210" s="27"/>
      <c r="G210" s="28"/>
      <c r="H210" s="28"/>
      <c r="I210" s="29" t="str">
        <f t="shared" si="9"/>
        <v/>
      </c>
      <c r="J210" s="30" t="str">
        <f t="shared" si="10"/>
        <v/>
      </c>
      <c r="K210" s="26"/>
      <c r="L210" s="24" t="str">
        <f>IF(N210="","",IF(N210="T","Título de capítulo",IF(OR(ISERROR(F210),ISERROR(G210),ISERROR(H210)),"Error en fórmula: pegá como valores",IF(AND(B210="",$C$6=""),"Falta sector",IF(M210="","Falta capítulo",IF(TRIM(E210)="","Falta unidad",IF(NOT((COUNTIF(Listas!$A$2:$A$40,E210)+COUNTIF(Listas!$D$2:$D$60,E210)&gt;0)),"Unidad no reconocida",IF(AND(F210&lt;&gt;"",NOT(ISNUMBER(F210))),"Cantidad no es número",IF(N(F210)&lt;=0,"Falta cantidad",IF(OR(AND(G210&lt;&gt;"",NOT(ISNUMBER(G210))),AND(H210&lt;&gt;"",NOT(ISNUMBER(H210)))),"Precio no es número",IF(N(G210)+N(H210)&lt;=0,"Falta precio","✓ OK")))))))))))</f>
        <v/>
      </c>
      <c r="M210" t="str">
        <f>IF(N210&lt;&gt;"W","",IF(TRIM(C210)&lt;&gt;"",TRIM(C210),IFERROR(LOOKUP(2,1/(N$9:N210="T"),D$9:D210),"")))</f>
        <v/>
      </c>
      <c r="N210" t="str">
        <f t="shared" si="11"/>
        <v/>
      </c>
      <c r="O210" t="str">
        <f>IF(M210="","",IF(COUNTIF(M$9:M210,M210)=1,MAX(O$8:O209)+1,""))</f>
        <v/>
      </c>
    </row>
    <row r="211" spans="1:15" x14ac:dyDescent="0.75">
      <c r="A211" s="24" t="str">
        <f>IF(N211="W",COUNTIF(N$9:N211,"W"),"")</f>
        <v/>
      </c>
      <c r="B211" s="25"/>
      <c r="C211" s="25"/>
      <c r="D211" s="26"/>
      <c r="E211" s="25"/>
      <c r="F211" s="27"/>
      <c r="G211" s="28"/>
      <c r="H211" s="28"/>
      <c r="I211" s="29" t="str">
        <f t="shared" si="9"/>
        <v/>
      </c>
      <c r="J211" s="30" t="str">
        <f t="shared" si="10"/>
        <v/>
      </c>
      <c r="K211" s="26"/>
      <c r="L211" s="24" t="str">
        <f>IF(N211="","",IF(N211="T","Título de capítulo",IF(OR(ISERROR(F211),ISERROR(G211),ISERROR(H211)),"Error en fórmula: pegá como valores",IF(AND(B211="",$C$6=""),"Falta sector",IF(M211="","Falta capítulo",IF(TRIM(E211)="","Falta unidad",IF(NOT((COUNTIF(Listas!$A$2:$A$40,E211)+COUNTIF(Listas!$D$2:$D$60,E211)&gt;0)),"Unidad no reconocida",IF(AND(F211&lt;&gt;"",NOT(ISNUMBER(F211))),"Cantidad no es número",IF(N(F211)&lt;=0,"Falta cantidad",IF(OR(AND(G211&lt;&gt;"",NOT(ISNUMBER(G211))),AND(H211&lt;&gt;"",NOT(ISNUMBER(H211)))),"Precio no es número",IF(N(G211)+N(H211)&lt;=0,"Falta precio","✓ OK")))))))))))</f>
        <v/>
      </c>
      <c r="M211" t="str">
        <f>IF(N211&lt;&gt;"W","",IF(TRIM(C211)&lt;&gt;"",TRIM(C211),IFERROR(LOOKUP(2,1/(N$9:N211="T"),D$9:D211),"")))</f>
        <v/>
      </c>
      <c r="N211" t="str">
        <f t="shared" si="11"/>
        <v/>
      </c>
      <c r="O211" t="str">
        <f>IF(M211="","",IF(COUNTIF(M$9:M211,M211)=1,MAX(O$8:O210)+1,""))</f>
        <v/>
      </c>
    </row>
    <row r="212" spans="1:15" x14ac:dyDescent="0.75">
      <c r="A212" s="24" t="str">
        <f>IF(N212="W",COUNTIF(N$9:N212,"W"),"")</f>
        <v/>
      </c>
      <c r="B212" s="25"/>
      <c r="C212" s="25"/>
      <c r="D212" s="26"/>
      <c r="E212" s="25"/>
      <c r="F212" s="27"/>
      <c r="G212" s="28"/>
      <c r="H212" s="28"/>
      <c r="I212" s="29" t="str">
        <f t="shared" si="9"/>
        <v/>
      </c>
      <c r="J212" s="30" t="str">
        <f t="shared" si="10"/>
        <v/>
      </c>
      <c r="K212" s="26"/>
      <c r="L212" s="24" t="str">
        <f>IF(N212="","",IF(N212="T","Título de capítulo",IF(OR(ISERROR(F212),ISERROR(G212),ISERROR(H212)),"Error en fórmula: pegá como valores",IF(AND(B212="",$C$6=""),"Falta sector",IF(M212="","Falta capítulo",IF(TRIM(E212)="","Falta unidad",IF(NOT((COUNTIF(Listas!$A$2:$A$40,E212)+COUNTIF(Listas!$D$2:$D$60,E212)&gt;0)),"Unidad no reconocida",IF(AND(F212&lt;&gt;"",NOT(ISNUMBER(F212))),"Cantidad no es número",IF(N(F212)&lt;=0,"Falta cantidad",IF(OR(AND(G212&lt;&gt;"",NOT(ISNUMBER(G212))),AND(H212&lt;&gt;"",NOT(ISNUMBER(H212)))),"Precio no es número",IF(N(G212)+N(H212)&lt;=0,"Falta precio","✓ OK")))))))))))</f>
        <v/>
      </c>
      <c r="M212" t="str">
        <f>IF(N212&lt;&gt;"W","",IF(TRIM(C212)&lt;&gt;"",TRIM(C212),IFERROR(LOOKUP(2,1/(N$9:N212="T"),D$9:D212),"")))</f>
        <v/>
      </c>
      <c r="N212" t="str">
        <f t="shared" si="11"/>
        <v/>
      </c>
      <c r="O212" t="str">
        <f>IF(M212="","",IF(COUNTIF(M$9:M212,M212)=1,MAX(O$8:O211)+1,""))</f>
        <v/>
      </c>
    </row>
    <row r="213" spans="1:15" x14ac:dyDescent="0.75">
      <c r="A213" s="24" t="str">
        <f>IF(N213="W",COUNTIF(N$9:N213,"W"),"")</f>
        <v/>
      </c>
      <c r="B213" s="25"/>
      <c r="C213" s="25"/>
      <c r="D213" s="26"/>
      <c r="E213" s="25"/>
      <c r="F213" s="27"/>
      <c r="G213" s="28"/>
      <c r="H213" s="28"/>
      <c r="I213" s="29" t="str">
        <f t="shared" si="9"/>
        <v/>
      </c>
      <c r="J213" s="30" t="str">
        <f t="shared" si="10"/>
        <v/>
      </c>
      <c r="K213" s="26"/>
      <c r="L213" s="24" t="str">
        <f>IF(N213="","",IF(N213="T","Título de capítulo",IF(OR(ISERROR(F213),ISERROR(G213),ISERROR(H213)),"Error en fórmula: pegá como valores",IF(AND(B213="",$C$6=""),"Falta sector",IF(M213="","Falta capítulo",IF(TRIM(E213)="","Falta unidad",IF(NOT((COUNTIF(Listas!$A$2:$A$40,E213)+COUNTIF(Listas!$D$2:$D$60,E213)&gt;0)),"Unidad no reconocida",IF(AND(F213&lt;&gt;"",NOT(ISNUMBER(F213))),"Cantidad no es número",IF(N(F213)&lt;=0,"Falta cantidad",IF(OR(AND(G213&lt;&gt;"",NOT(ISNUMBER(G213))),AND(H213&lt;&gt;"",NOT(ISNUMBER(H213)))),"Precio no es número",IF(N(G213)+N(H213)&lt;=0,"Falta precio","✓ OK")))))))))))</f>
        <v/>
      </c>
      <c r="M213" t="str">
        <f>IF(N213&lt;&gt;"W","",IF(TRIM(C213)&lt;&gt;"",TRIM(C213),IFERROR(LOOKUP(2,1/(N$9:N213="T"),D$9:D213),"")))</f>
        <v/>
      </c>
      <c r="N213" t="str">
        <f t="shared" si="11"/>
        <v/>
      </c>
      <c r="O213" t="str">
        <f>IF(M213="","",IF(COUNTIF(M$9:M213,M213)=1,MAX(O$8:O212)+1,""))</f>
        <v/>
      </c>
    </row>
    <row r="214" spans="1:15" x14ac:dyDescent="0.75">
      <c r="A214" s="24" t="str">
        <f>IF(N214="W",COUNTIF(N$9:N214,"W"),"")</f>
        <v/>
      </c>
      <c r="B214" s="25"/>
      <c r="C214" s="25"/>
      <c r="D214" s="26"/>
      <c r="E214" s="25"/>
      <c r="F214" s="27"/>
      <c r="G214" s="28"/>
      <c r="H214" s="28"/>
      <c r="I214" s="29" t="str">
        <f t="shared" si="9"/>
        <v/>
      </c>
      <c r="J214" s="30" t="str">
        <f t="shared" si="10"/>
        <v/>
      </c>
      <c r="K214" s="26"/>
      <c r="L214" s="24" t="str">
        <f>IF(N214="","",IF(N214="T","Título de capítulo",IF(OR(ISERROR(F214),ISERROR(G214),ISERROR(H214)),"Error en fórmula: pegá como valores",IF(AND(B214="",$C$6=""),"Falta sector",IF(M214="","Falta capítulo",IF(TRIM(E214)="","Falta unidad",IF(NOT((COUNTIF(Listas!$A$2:$A$40,E214)+COUNTIF(Listas!$D$2:$D$60,E214)&gt;0)),"Unidad no reconocida",IF(AND(F214&lt;&gt;"",NOT(ISNUMBER(F214))),"Cantidad no es número",IF(N(F214)&lt;=0,"Falta cantidad",IF(OR(AND(G214&lt;&gt;"",NOT(ISNUMBER(G214))),AND(H214&lt;&gt;"",NOT(ISNUMBER(H214)))),"Precio no es número",IF(N(G214)+N(H214)&lt;=0,"Falta precio","✓ OK")))))))))))</f>
        <v/>
      </c>
      <c r="M214" t="str">
        <f>IF(N214&lt;&gt;"W","",IF(TRIM(C214)&lt;&gt;"",TRIM(C214),IFERROR(LOOKUP(2,1/(N$9:N214="T"),D$9:D214),"")))</f>
        <v/>
      </c>
      <c r="N214" t="str">
        <f t="shared" si="11"/>
        <v/>
      </c>
      <c r="O214" t="str">
        <f>IF(M214="","",IF(COUNTIF(M$9:M214,M214)=1,MAX(O$8:O213)+1,""))</f>
        <v/>
      </c>
    </row>
    <row r="215" spans="1:15" x14ac:dyDescent="0.75">
      <c r="A215" s="24" t="str">
        <f>IF(N215="W",COUNTIF(N$9:N215,"W"),"")</f>
        <v/>
      </c>
      <c r="B215" s="25"/>
      <c r="C215" s="25"/>
      <c r="D215" s="26"/>
      <c r="E215" s="25"/>
      <c r="F215" s="27"/>
      <c r="G215" s="28"/>
      <c r="H215" s="28"/>
      <c r="I215" s="29" t="str">
        <f t="shared" si="9"/>
        <v/>
      </c>
      <c r="J215" s="30" t="str">
        <f t="shared" si="10"/>
        <v/>
      </c>
      <c r="K215" s="26"/>
      <c r="L215" s="24" t="str">
        <f>IF(N215="","",IF(N215="T","Título de capítulo",IF(OR(ISERROR(F215),ISERROR(G215),ISERROR(H215)),"Error en fórmula: pegá como valores",IF(AND(B215="",$C$6=""),"Falta sector",IF(M215="","Falta capítulo",IF(TRIM(E215)="","Falta unidad",IF(NOT((COUNTIF(Listas!$A$2:$A$40,E215)+COUNTIF(Listas!$D$2:$D$60,E215)&gt;0)),"Unidad no reconocida",IF(AND(F215&lt;&gt;"",NOT(ISNUMBER(F215))),"Cantidad no es número",IF(N(F215)&lt;=0,"Falta cantidad",IF(OR(AND(G215&lt;&gt;"",NOT(ISNUMBER(G215))),AND(H215&lt;&gt;"",NOT(ISNUMBER(H215)))),"Precio no es número",IF(N(G215)+N(H215)&lt;=0,"Falta precio","✓ OK")))))))))))</f>
        <v/>
      </c>
      <c r="M215" t="str">
        <f>IF(N215&lt;&gt;"W","",IF(TRIM(C215)&lt;&gt;"",TRIM(C215),IFERROR(LOOKUP(2,1/(N$9:N215="T"),D$9:D215),"")))</f>
        <v/>
      </c>
      <c r="N215" t="str">
        <f t="shared" si="11"/>
        <v/>
      </c>
      <c r="O215" t="str">
        <f>IF(M215="","",IF(COUNTIF(M$9:M215,M215)=1,MAX(O$8:O214)+1,""))</f>
        <v/>
      </c>
    </row>
    <row r="216" spans="1:15" x14ac:dyDescent="0.75">
      <c r="A216" s="24" t="str">
        <f>IF(N216="W",COUNTIF(N$9:N216,"W"),"")</f>
        <v/>
      </c>
      <c r="B216" s="25"/>
      <c r="C216" s="25"/>
      <c r="D216" s="26"/>
      <c r="E216" s="25"/>
      <c r="F216" s="27"/>
      <c r="G216" s="28"/>
      <c r="H216" s="28"/>
      <c r="I216" s="29" t="str">
        <f t="shared" si="9"/>
        <v/>
      </c>
      <c r="J216" s="30" t="str">
        <f t="shared" si="10"/>
        <v/>
      </c>
      <c r="K216" s="26"/>
      <c r="L216" s="24" t="str">
        <f>IF(N216="","",IF(N216="T","Título de capítulo",IF(OR(ISERROR(F216),ISERROR(G216),ISERROR(H216)),"Error en fórmula: pegá como valores",IF(AND(B216="",$C$6=""),"Falta sector",IF(M216="","Falta capítulo",IF(TRIM(E216)="","Falta unidad",IF(NOT((COUNTIF(Listas!$A$2:$A$40,E216)+COUNTIF(Listas!$D$2:$D$60,E216)&gt;0)),"Unidad no reconocida",IF(AND(F216&lt;&gt;"",NOT(ISNUMBER(F216))),"Cantidad no es número",IF(N(F216)&lt;=0,"Falta cantidad",IF(OR(AND(G216&lt;&gt;"",NOT(ISNUMBER(G216))),AND(H216&lt;&gt;"",NOT(ISNUMBER(H216)))),"Precio no es número",IF(N(G216)+N(H216)&lt;=0,"Falta precio","✓ OK")))))))))))</f>
        <v/>
      </c>
      <c r="M216" t="str">
        <f>IF(N216&lt;&gt;"W","",IF(TRIM(C216)&lt;&gt;"",TRIM(C216),IFERROR(LOOKUP(2,1/(N$9:N216="T"),D$9:D216),"")))</f>
        <v/>
      </c>
      <c r="N216" t="str">
        <f t="shared" si="11"/>
        <v/>
      </c>
      <c r="O216" t="str">
        <f>IF(M216="","",IF(COUNTIF(M$9:M216,M216)=1,MAX(O$8:O215)+1,""))</f>
        <v/>
      </c>
    </row>
    <row r="217" spans="1:15" x14ac:dyDescent="0.75">
      <c r="A217" s="24" t="str">
        <f>IF(N217="W",COUNTIF(N$9:N217,"W"),"")</f>
        <v/>
      </c>
      <c r="B217" s="25"/>
      <c r="C217" s="25"/>
      <c r="D217" s="26"/>
      <c r="E217" s="25"/>
      <c r="F217" s="27"/>
      <c r="G217" s="28"/>
      <c r="H217" s="28"/>
      <c r="I217" s="29" t="str">
        <f t="shared" si="9"/>
        <v/>
      </c>
      <c r="J217" s="30" t="str">
        <f t="shared" si="10"/>
        <v/>
      </c>
      <c r="K217" s="26"/>
      <c r="L217" s="24" t="str">
        <f>IF(N217="","",IF(N217="T","Título de capítulo",IF(OR(ISERROR(F217),ISERROR(G217),ISERROR(H217)),"Error en fórmula: pegá como valores",IF(AND(B217="",$C$6=""),"Falta sector",IF(M217="","Falta capítulo",IF(TRIM(E217)="","Falta unidad",IF(NOT((COUNTIF(Listas!$A$2:$A$40,E217)+COUNTIF(Listas!$D$2:$D$60,E217)&gt;0)),"Unidad no reconocida",IF(AND(F217&lt;&gt;"",NOT(ISNUMBER(F217))),"Cantidad no es número",IF(N(F217)&lt;=0,"Falta cantidad",IF(OR(AND(G217&lt;&gt;"",NOT(ISNUMBER(G217))),AND(H217&lt;&gt;"",NOT(ISNUMBER(H217)))),"Precio no es número",IF(N(G217)+N(H217)&lt;=0,"Falta precio","✓ OK")))))))))))</f>
        <v/>
      </c>
      <c r="M217" t="str">
        <f>IF(N217&lt;&gt;"W","",IF(TRIM(C217)&lt;&gt;"",TRIM(C217),IFERROR(LOOKUP(2,1/(N$9:N217="T"),D$9:D217),"")))</f>
        <v/>
      </c>
      <c r="N217" t="str">
        <f t="shared" si="11"/>
        <v/>
      </c>
      <c r="O217" t="str">
        <f>IF(M217="","",IF(COUNTIF(M$9:M217,M217)=1,MAX(O$8:O216)+1,""))</f>
        <v/>
      </c>
    </row>
    <row r="218" spans="1:15" x14ac:dyDescent="0.75">
      <c r="A218" s="24" t="str">
        <f>IF(N218="W",COUNTIF(N$9:N218,"W"),"")</f>
        <v/>
      </c>
      <c r="B218" s="25"/>
      <c r="C218" s="25"/>
      <c r="D218" s="26"/>
      <c r="E218" s="25"/>
      <c r="F218" s="27"/>
      <c r="G218" s="28"/>
      <c r="H218" s="28"/>
      <c r="I218" s="29" t="str">
        <f t="shared" si="9"/>
        <v/>
      </c>
      <c r="J218" s="30" t="str">
        <f t="shared" si="10"/>
        <v/>
      </c>
      <c r="K218" s="26"/>
      <c r="L218" s="24" t="str">
        <f>IF(N218="","",IF(N218="T","Título de capítulo",IF(OR(ISERROR(F218),ISERROR(G218),ISERROR(H218)),"Error en fórmula: pegá como valores",IF(AND(B218="",$C$6=""),"Falta sector",IF(M218="","Falta capítulo",IF(TRIM(E218)="","Falta unidad",IF(NOT((COUNTIF(Listas!$A$2:$A$40,E218)+COUNTIF(Listas!$D$2:$D$60,E218)&gt;0)),"Unidad no reconocida",IF(AND(F218&lt;&gt;"",NOT(ISNUMBER(F218))),"Cantidad no es número",IF(N(F218)&lt;=0,"Falta cantidad",IF(OR(AND(G218&lt;&gt;"",NOT(ISNUMBER(G218))),AND(H218&lt;&gt;"",NOT(ISNUMBER(H218)))),"Precio no es número",IF(N(G218)+N(H218)&lt;=0,"Falta precio","✓ OK")))))))))))</f>
        <v/>
      </c>
      <c r="M218" t="str">
        <f>IF(N218&lt;&gt;"W","",IF(TRIM(C218)&lt;&gt;"",TRIM(C218),IFERROR(LOOKUP(2,1/(N$9:N218="T"),D$9:D218),"")))</f>
        <v/>
      </c>
      <c r="N218" t="str">
        <f t="shared" si="11"/>
        <v/>
      </c>
      <c r="O218" t="str">
        <f>IF(M218="","",IF(COUNTIF(M$9:M218,M218)=1,MAX(O$8:O217)+1,""))</f>
        <v/>
      </c>
    </row>
    <row r="219" spans="1:15" x14ac:dyDescent="0.75">
      <c r="A219" s="24" t="str">
        <f>IF(N219="W",COUNTIF(N$9:N219,"W"),"")</f>
        <v/>
      </c>
      <c r="B219" s="25"/>
      <c r="C219" s="25"/>
      <c r="D219" s="26"/>
      <c r="E219" s="25"/>
      <c r="F219" s="27"/>
      <c r="G219" s="28"/>
      <c r="H219" s="28"/>
      <c r="I219" s="29" t="str">
        <f t="shared" si="9"/>
        <v/>
      </c>
      <c r="J219" s="30" t="str">
        <f t="shared" si="10"/>
        <v/>
      </c>
      <c r="K219" s="26"/>
      <c r="L219" s="24" t="str">
        <f>IF(N219="","",IF(N219="T","Título de capítulo",IF(OR(ISERROR(F219),ISERROR(G219),ISERROR(H219)),"Error en fórmula: pegá como valores",IF(AND(B219="",$C$6=""),"Falta sector",IF(M219="","Falta capítulo",IF(TRIM(E219)="","Falta unidad",IF(NOT((COUNTIF(Listas!$A$2:$A$40,E219)+COUNTIF(Listas!$D$2:$D$60,E219)&gt;0)),"Unidad no reconocida",IF(AND(F219&lt;&gt;"",NOT(ISNUMBER(F219))),"Cantidad no es número",IF(N(F219)&lt;=0,"Falta cantidad",IF(OR(AND(G219&lt;&gt;"",NOT(ISNUMBER(G219))),AND(H219&lt;&gt;"",NOT(ISNUMBER(H219)))),"Precio no es número",IF(N(G219)+N(H219)&lt;=0,"Falta precio","✓ OK")))))))))))</f>
        <v/>
      </c>
      <c r="M219" t="str">
        <f>IF(N219&lt;&gt;"W","",IF(TRIM(C219)&lt;&gt;"",TRIM(C219),IFERROR(LOOKUP(2,1/(N$9:N219="T"),D$9:D219),"")))</f>
        <v/>
      </c>
      <c r="N219" t="str">
        <f t="shared" si="11"/>
        <v/>
      </c>
      <c r="O219" t="str">
        <f>IF(M219="","",IF(COUNTIF(M$9:M219,M219)=1,MAX(O$8:O218)+1,""))</f>
        <v/>
      </c>
    </row>
    <row r="220" spans="1:15" x14ac:dyDescent="0.75">
      <c r="A220" s="24" t="str">
        <f>IF(N220="W",COUNTIF(N$9:N220,"W"),"")</f>
        <v/>
      </c>
      <c r="B220" s="25"/>
      <c r="C220" s="25"/>
      <c r="D220" s="26"/>
      <c r="E220" s="25"/>
      <c r="F220" s="27"/>
      <c r="G220" s="28"/>
      <c r="H220" s="28"/>
      <c r="I220" s="29" t="str">
        <f t="shared" si="9"/>
        <v/>
      </c>
      <c r="J220" s="30" t="str">
        <f t="shared" si="10"/>
        <v/>
      </c>
      <c r="K220" s="26"/>
      <c r="L220" s="24" t="str">
        <f>IF(N220="","",IF(N220="T","Título de capítulo",IF(OR(ISERROR(F220),ISERROR(G220),ISERROR(H220)),"Error en fórmula: pegá como valores",IF(AND(B220="",$C$6=""),"Falta sector",IF(M220="","Falta capítulo",IF(TRIM(E220)="","Falta unidad",IF(NOT((COUNTIF(Listas!$A$2:$A$40,E220)+COUNTIF(Listas!$D$2:$D$60,E220)&gt;0)),"Unidad no reconocida",IF(AND(F220&lt;&gt;"",NOT(ISNUMBER(F220))),"Cantidad no es número",IF(N(F220)&lt;=0,"Falta cantidad",IF(OR(AND(G220&lt;&gt;"",NOT(ISNUMBER(G220))),AND(H220&lt;&gt;"",NOT(ISNUMBER(H220)))),"Precio no es número",IF(N(G220)+N(H220)&lt;=0,"Falta precio","✓ OK")))))))))))</f>
        <v/>
      </c>
      <c r="M220" t="str">
        <f>IF(N220&lt;&gt;"W","",IF(TRIM(C220)&lt;&gt;"",TRIM(C220),IFERROR(LOOKUP(2,1/(N$9:N220="T"),D$9:D220),"")))</f>
        <v/>
      </c>
      <c r="N220" t="str">
        <f t="shared" si="11"/>
        <v/>
      </c>
      <c r="O220" t="str">
        <f>IF(M220="","",IF(COUNTIF(M$9:M220,M220)=1,MAX(O$8:O219)+1,""))</f>
        <v/>
      </c>
    </row>
    <row r="221" spans="1:15" x14ac:dyDescent="0.75">
      <c r="A221" s="24" t="str">
        <f>IF(N221="W",COUNTIF(N$9:N221,"W"),"")</f>
        <v/>
      </c>
      <c r="B221" s="25"/>
      <c r="C221" s="25"/>
      <c r="D221" s="26"/>
      <c r="E221" s="25"/>
      <c r="F221" s="27"/>
      <c r="G221" s="28"/>
      <c r="H221" s="28"/>
      <c r="I221" s="29" t="str">
        <f t="shared" si="9"/>
        <v/>
      </c>
      <c r="J221" s="30" t="str">
        <f t="shared" si="10"/>
        <v/>
      </c>
      <c r="K221" s="26"/>
      <c r="L221" s="24" t="str">
        <f>IF(N221="","",IF(N221="T","Título de capítulo",IF(OR(ISERROR(F221),ISERROR(G221),ISERROR(H221)),"Error en fórmula: pegá como valores",IF(AND(B221="",$C$6=""),"Falta sector",IF(M221="","Falta capítulo",IF(TRIM(E221)="","Falta unidad",IF(NOT((COUNTIF(Listas!$A$2:$A$40,E221)+COUNTIF(Listas!$D$2:$D$60,E221)&gt;0)),"Unidad no reconocida",IF(AND(F221&lt;&gt;"",NOT(ISNUMBER(F221))),"Cantidad no es número",IF(N(F221)&lt;=0,"Falta cantidad",IF(OR(AND(G221&lt;&gt;"",NOT(ISNUMBER(G221))),AND(H221&lt;&gt;"",NOT(ISNUMBER(H221)))),"Precio no es número",IF(N(G221)+N(H221)&lt;=0,"Falta precio","✓ OK")))))))))))</f>
        <v/>
      </c>
      <c r="M221" t="str">
        <f>IF(N221&lt;&gt;"W","",IF(TRIM(C221)&lt;&gt;"",TRIM(C221),IFERROR(LOOKUP(2,1/(N$9:N221="T"),D$9:D221),"")))</f>
        <v/>
      </c>
      <c r="N221" t="str">
        <f t="shared" si="11"/>
        <v/>
      </c>
      <c r="O221" t="str">
        <f>IF(M221="","",IF(COUNTIF(M$9:M221,M221)=1,MAX(O$8:O220)+1,""))</f>
        <v/>
      </c>
    </row>
    <row r="222" spans="1:15" x14ac:dyDescent="0.75">
      <c r="A222" s="24" t="str">
        <f>IF(N222="W",COUNTIF(N$9:N222,"W"),"")</f>
        <v/>
      </c>
      <c r="B222" s="25"/>
      <c r="C222" s="25"/>
      <c r="D222" s="26"/>
      <c r="E222" s="25"/>
      <c r="F222" s="27"/>
      <c r="G222" s="28"/>
      <c r="H222" s="28"/>
      <c r="I222" s="29" t="str">
        <f t="shared" si="9"/>
        <v/>
      </c>
      <c r="J222" s="30" t="str">
        <f t="shared" si="10"/>
        <v/>
      </c>
      <c r="K222" s="26"/>
      <c r="L222" s="24" t="str">
        <f>IF(N222="","",IF(N222="T","Título de capítulo",IF(OR(ISERROR(F222),ISERROR(G222),ISERROR(H222)),"Error en fórmula: pegá como valores",IF(AND(B222="",$C$6=""),"Falta sector",IF(M222="","Falta capítulo",IF(TRIM(E222)="","Falta unidad",IF(NOT((COUNTIF(Listas!$A$2:$A$40,E222)+COUNTIF(Listas!$D$2:$D$60,E222)&gt;0)),"Unidad no reconocida",IF(AND(F222&lt;&gt;"",NOT(ISNUMBER(F222))),"Cantidad no es número",IF(N(F222)&lt;=0,"Falta cantidad",IF(OR(AND(G222&lt;&gt;"",NOT(ISNUMBER(G222))),AND(H222&lt;&gt;"",NOT(ISNUMBER(H222)))),"Precio no es número",IF(N(G222)+N(H222)&lt;=0,"Falta precio","✓ OK")))))))))))</f>
        <v/>
      </c>
      <c r="M222" t="str">
        <f>IF(N222&lt;&gt;"W","",IF(TRIM(C222)&lt;&gt;"",TRIM(C222),IFERROR(LOOKUP(2,1/(N$9:N222="T"),D$9:D222),"")))</f>
        <v/>
      </c>
      <c r="N222" t="str">
        <f t="shared" si="11"/>
        <v/>
      </c>
      <c r="O222" t="str">
        <f>IF(M222="","",IF(COUNTIF(M$9:M222,M222)=1,MAX(O$8:O221)+1,""))</f>
        <v/>
      </c>
    </row>
    <row r="223" spans="1:15" x14ac:dyDescent="0.75">
      <c r="A223" s="24" t="str">
        <f>IF(N223="W",COUNTIF(N$9:N223,"W"),"")</f>
        <v/>
      </c>
      <c r="B223" s="25"/>
      <c r="C223" s="25"/>
      <c r="D223" s="26"/>
      <c r="E223" s="25"/>
      <c r="F223" s="27"/>
      <c r="G223" s="28"/>
      <c r="H223" s="28"/>
      <c r="I223" s="29" t="str">
        <f t="shared" si="9"/>
        <v/>
      </c>
      <c r="J223" s="30" t="str">
        <f t="shared" si="10"/>
        <v/>
      </c>
      <c r="K223" s="26"/>
      <c r="L223" s="24" t="str">
        <f>IF(N223="","",IF(N223="T","Título de capítulo",IF(OR(ISERROR(F223),ISERROR(G223),ISERROR(H223)),"Error en fórmula: pegá como valores",IF(AND(B223="",$C$6=""),"Falta sector",IF(M223="","Falta capítulo",IF(TRIM(E223)="","Falta unidad",IF(NOT((COUNTIF(Listas!$A$2:$A$40,E223)+COUNTIF(Listas!$D$2:$D$60,E223)&gt;0)),"Unidad no reconocida",IF(AND(F223&lt;&gt;"",NOT(ISNUMBER(F223))),"Cantidad no es número",IF(N(F223)&lt;=0,"Falta cantidad",IF(OR(AND(G223&lt;&gt;"",NOT(ISNUMBER(G223))),AND(H223&lt;&gt;"",NOT(ISNUMBER(H223)))),"Precio no es número",IF(N(G223)+N(H223)&lt;=0,"Falta precio","✓ OK")))))))))))</f>
        <v/>
      </c>
      <c r="M223" t="str">
        <f>IF(N223&lt;&gt;"W","",IF(TRIM(C223)&lt;&gt;"",TRIM(C223),IFERROR(LOOKUP(2,1/(N$9:N223="T"),D$9:D223),"")))</f>
        <v/>
      </c>
      <c r="N223" t="str">
        <f t="shared" si="11"/>
        <v/>
      </c>
      <c r="O223" t="str">
        <f>IF(M223="","",IF(COUNTIF(M$9:M223,M223)=1,MAX(O$8:O222)+1,""))</f>
        <v/>
      </c>
    </row>
    <row r="224" spans="1:15" x14ac:dyDescent="0.75">
      <c r="A224" s="24" t="str">
        <f>IF(N224="W",COUNTIF(N$9:N224,"W"),"")</f>
        <v/>
      </c>
      <c r="B224" s="25"/>
      <c r="C224" s="25"/>
      <c r="D224" s="26"/>
      <c r="E224" s="25"/>
      <c r="F224" s="27"/>
      <c r="G224" s="28"/>
      <c r="H224" s="28"/>
      <c r="I224" s="29" t="str">
        <f t="shared" si="9"/>
        <v/>
      </c>
      <c r="J224" s="30" t="str">
        <f t="shared" si="10"/>
        <v/>
      </c>
      <c r="K224" s="26"/>
      <c r="L224" s="24" t="str">
        <f>IF(N224="","",IF(N224="T","Título de capítulo",IF(OR(ISERROR(F224),ISERROR(G224),ISERROR(H224)),"Error en fórmula: pegá como valores",IF(AND(B224="",$C$6=""),"Falta sector",IF(M224="","Falta capítulo",IF(TRIM(E224)="","Falta unidad",IF(NOT((COUNTIF(Listas!$A$2:$A$40,E224)+COUNTIF(Listas!$D$2:$D$60,E224)&gt;0)),"Unidad no reconocida",IF(AND(F224&lt;&gt;"",NOT(ISNUMBER(F224))),"Cantidad no es número",IF(N(F224)&lt;=0,"Falta cantidad",IF(OR(AND(G224&lt;&gt;"",NOT(ISNUMBER(G224))),AND(H224&lt;&gt;"",NOT(ISNUMBER(H224)))),"Precio no es número",IF(N(G224)+N(H224)&lt;=0,"Falta precio","✓ OK")))))))))))</f>
        <v/>
      </c>
      <c r="M224" t="str">
        <f>IF(N224&lt;&gt;"W","",IF(TRIM(C224)&lt;&gt;"",TRIM(C224),IFERROR(LOOKUP(2,1/(N$9:N224="T"),D$9:D224),"")))</f>
        <v/>
      </c>
      <c r="N224" t="str">
        <f t="shared" si="11"/>
        <v/>
      </c>
      <c r="O224" t="str">
        <f>IF(M224="","",IF(COUNTIF(M$9:M224,M224)=1,MAX(O$8:O223)+1,""))</f>
        <v/>
      </c>
    </row>
    <row r="225" spans="1:15" x14ac:dyDescent="0.75">
      <c r="A225" s="24" t="str">
        <f>IF(N225="W",COUNTIF(N$9:N225,"W"),"")</f>
        <v/>
      </c>
      <c r="B225" s="25"/>
      <c r="C225" s="25"/>
      <c r="D225" s="26"/>
      <c r="E225" s="25"/>
      <c r="F225" s="27"/>
      <c r="G225" s="28"/>
      <c r="H225" s="28"/>
      <c r="I225" s="29" t="str">
        <f t="shared" si="9"/>
        <v/>
      </c>
      <c r="J225" s="30" t="str">
        <f t="shared" si="10"/>
        <v/>
      </c>
      <c r="K225" s="26"/>
      <c r="L225" s="24" t="str">
        <f>IF(N225="","",IF(N225="T","Título de capítulo",IF(OR(ISERROR(F225),ISERROR(G225),ISERROR(H225)),"Error en fórmula: pegá como valores",IF(AND(B225="",$C$6=""),"Falta sector",IF(M225="","Falta capítulo",IF(TRIM(E225)="","Falta unidad",IF(NOT((COUNTIF(Listas!$A$2:$A$40,E225)+COUNTIF(Listas!$D$2:$D$60,E225)&gt;0)),"Unidad no reconocida",IF(AND(F225&lt;&gt;"",NOT(ISNUMBER(F225))),"Cantidad no es número",IF(N(F225)&lt;=0,"Falta cantidad",IF(OR(AND(G225&lt;&gt;"",NOT(ISNUMBER(G225))),AND(H225&lt;&gt;"",NOT(ISNUMBER(H225)))),"Precio no es número",IF(N(G225)+N(H225)&lt;=0,"Falta precio","✓ OK")))))))))))</f>
        <v/>
      </c>
      <c r="M225" t="str">
        <f>IF(N225&lt;&gt;"W","",IF(TRIM(C225)&lt;&gt;"",TRIM(C225),IFERROR(LOOKUP(2,1/(N$9:N225="T"),D$9:D225),"")))</f>
        <v/>
      </c>
      <c r="N225" t="str">
        <f t="shared" si="11"/>
        <v/>
      </c>
      <c r="O225" t="str">
        <f>IF(M225="","",IF(COUNTIF(M$9:M225,M225)=1,MAX(O$8:O224)+1,""))</f>
        <v/>
      </c>
    </row>
    <row r="226" spans="1:15" x14ac:dyDescent="0.75">
      <c r="A226" s="24" t="str">
        <f>IF(N226="W",COUNTIF(N$9:N226,"W"),"")</f>
        <v/>
      </c>
      <c r="B226" s="25"/>
      <c r="C226" s="25"/>
      <c r="D226" s="26"/>
      <c r="E226" s="25"/>
      <c r="F226" s="27"/>
      <c r="G226" s="28"/>
      <c r="H226" s="28"/>
      <c r="I226" s="29" t="str">
        <f t="shared" si="9"/>
        <v/>
      </c>
      <c r="J226" s="30" t="str">
        <f t="shared" si="10"/>
        <v/>
      </c>
      <c r="K226" s="26"/>
      <c r="L226" s="24" t="str">
        <f>IF(N226="","",IF(N226="T","Título de capítulo",IF(OR(ISERROR(F226),ISERROR(G226),ISERROR(H226)),"Error en fórmula: pegá como valores",IF(AND(B226="",$C$6=""),"Falta sector",IF(M226="","Falta capítulo",IF(TRIM(E226)="","Falta unidad",IF(NOT((COUNTIF(Listas!$A$2:$A$40,E226)+COUNTIF(Listas!$D$2:$D$60,E226)&gt;0)),"Unidad no reconocida",IF(AND(F226&lt;&gt;"",NOT(ISNUMBER(F226))),"Cantidad no es número",IF(N(F226)&lt;=0,"Falta cantidad",IF(OR(AND(G226&lt;&gt;"",NOT(ISNUMBER(G226))),AND(H226&lt;&gt;"",NOT(ISNUMBER(H226)))),"Precio no es número",IF(N(G226)+N(H226)&lt;=0,"Falta precio","✓ OK")))))))))))</f>
        <v/>
      </c>
      <c r="M226" t="str">
        <f>IF(N226&lt;&gt;"W","",IF(TRIM(C226)&lt;&gt;"",TRIM(C226),IFERROR(LOOKUP(2,1/(N$9:N226="T"),D$9:D226),"")))</f>
        <v/>
      </c>
      <c r="N226" t="str">
        <f t="shared" si="11"/>
        <v/>
      </c>
      <c r="O226" t="str">
        <f>IF(M226="","",IF(COUNTIF(M$9:M226,M226)=1,MAX(O$8:O225)+1,""))</f>
        <v/>
      </c>
    </row>
    <row r="227" spans="1:15" x14ac:dyDescent="0.75">
      <c r="A227" s="24" t="str">
        <f>IF(N227="W",COUNTIF(N$9:N227,"W"),"")</f>
        <v/>
      </c>
      <c r="B227" s="25"/>
      <c r="C227" s="25"/>
      <c r="D227" s="26"/>
      <c r="E227" s="25"/>
      <c r="F227" s="27"/>
      <c r="G227" s="28"/>
      <c r="H227" s="28"/>
      <c r="I227" s="29" t="str">
        <f t="shared" si="9"/>
        <v/>
      </c>
      <c r="J227" s="30" t="str">
        <f t="shared" si="10"/>
        <v/>
      </c>
      <c r="K227" s="26"/>
      <c r="L227" s="24" t="str">
        <f>IF(N227="","",IF(N227="T","Título de capítulo",IF(OR(ISERROR(F227),ISERROR(G227),ISERROR(H227)),"Error en fórmula: pegá como valores",IF(AND(B227="",$C$6=""),"Falta sector",IF(M227="","Falta capítulo",IF(TRIM(E227)="","Falta unidad",IF(NOT((COUNTIF(Listas!$A$2:$A$40,E227)+COUNTIF(Listas!$D$2:$D$60,E227)&gt;0)),"Unidad no reconocida",IF(AND(F227&lt;&gt;"",NOT(ISNUMBER(F227))),"Cantidad no es número",IF(N(F227)&lt;=0,"Falta cantidad",IF(OR(AND(G227&lt;&gt;"",NOT(ISNUMBER(G227))),AND(H227&lt;&gt;"",NOT(ISNUMBER(H227)))),"Precio no es número",IF(N(G227)+N(H227)&lt;=0,"Falta precio","✓ OK")))))))))))</f>
        <v/>
      </c>
      <c r="M227" t="str">
        <f>IF(N227&lt;&gt;"W","",IF(TRIM(C227)&lt;&gt;"",TRIM(C227),IFERROR(LOOKUP(2,1/(N$9:N227="T"),D$9:D227),"")))</f>
        <v/>
      </c>
      <c r="N227" t="str">
        <f t="shared" si="11"/>
        <v/>
      </c>
      <c r="O227" t="str">
        <f>IF(M227="","",IF(COUNTIF(M$9:M227,M227)=1,MAX(O$8:O226)+1,""))</f>
        <v/>
      </c>
    </row>
    <row r="228" spans="1:15" x14ac:dyDescent="0.75">
      <c r="A228" s="24" t="str">
        <f>IF(N228="W",COUNTIF(N$9:N228,"W"),"")</f>
        <v/>
      </c>
      <c r="B228" s="25"/>
      <c r="C228" s="25"/>
      <c r="D228" s="26"/>
      <c r="E228" s="25"/>
      <c r="F228" s="27"/>
      <c r="G228" s="28"/>
      <c r="H228" s="28"/>
      <c r="I228" s="29" t="str">
        <f t="shared" si="9"/>
        <v/>
      </c>
      <c r="J228" s="30" t="str">
        <f t="shared" si="10"/>
        <v/>
      </c>
      <c r="K228" s="26"/>
      <c r="L228" s="24" t="str">
        <f>IF(N228="","",IF(N228="T","Título de capítulo",IF(OR(ISERROR(F228),ISERROR(G228),ISERROR(H228)),"Error en fórmula: pegá como valores",IF(AND(B228="",$C$6=""),"Falta sector",IF(M228="","Falta capítulo",IF(TRIM(E228)="","Falta unidad",IF(NOT((COUNTIF(Listas!$A$2:$A$40,E228)+COUNTIF(Listas!$D$2:$D$60,E228)&gt;0)),"Unidad no reconocida",IF(AND(F228&lt;&gt;"",NOT(ISNUMBER(F228))),"Cantidad no es número",IF(N(F228)&lt;=0,"Falta cantidad",IF(OR(AND(G228&lt;&gt;"",NOT(ISNUMBER(G228))),AND(H228&lt;&gt;"",NOT(ISNUMBER(H228)))),"Precio no es número",IF(N(G228)+N(H228)&lt;=0,"Falta precio","✓ OK")))))))))))</f>
        <v/>
      </c>
      <c r="M228" t="str">
        <f>IF(N228&lt;&gt;"W","",IF(TRIM(C228)&lt;&gt;"",TRIM(C228),IFERROR(LOOKUP(2,1/(N$9:N228="T"),D$9:D228),"")))</f>
        <v/>
      </c>
      <c r="N228" t="str">
        <f t="shared" si="11"/>
        <v/>
      </c>
      <c r="O228" t="str">
        <f>IF(M228="","",IF(COUNTIF(M$9:M228,M228)=1,MAX(O$8:O227)+1,""))</f>
        <v/>
      </c>
    </row>
    <row r="229" spans="1:15" x14ac:dyDescent="0.75">
      <c r="A229" s="24" t="str">
        <f>IF(N229="W",COUNTIF(N$9:N229,"W"),"")</f>
        <v/>
      </c>
      <c r="B229" s="25"/>
      <c r="C229" s="25"/>
      <c r="D229" s="26"/>
      <c r="E229" s="25"/>
      <c r="F229" s="27"/>
      <c r="G229" s="28"/>
      <c r="H229" s="28"/>
      <c r="I229" s="29" t="str">
        <f t="shared" si="9"/>
        <v/>
      </c>
      <c r="J229" s="30" t="str">
        <f t="shared" si="10"/>
        <v/>
      </c>
      <c r="K229" s="26"/>
      <c r="L229" s="24" t="str">
        <f>IF(N229="","",IF(N229="T","Título de capítulo",IF(OR(ISERROR(F229),ISERROR(G229),ISERROR(H229)),"Error en fórmula: pegá como valores",IF(AND(B229="",$C$6=""),"Falta sector",IF(M229="","Falta capítulo",IF(TRIM(E229)="","Falta unidad",IF(NOT((COUNTIF(Listas!$A$2:$A$40,E229)+COUNTIF(Listas!$D$2:$D$60,E229)&gt;0)),"Unidad no reconocida",IF(AND(F229&lt;&gt;"",NOT(ISNUMBER(F229))),"Cantidad no es número",IF(N(F229)&lt;=0,"Falta cantidad",IF(OR(AND(G229&lt;&gt;"",NOT(ISNUMBER(G229))),AND(H229&lt;&gt;"",NOT(ISNUMBER(H229)))),"Precio no es número",IF(N(G229)+N(H229)&lt;=0,"Falta precio","✓ OK")))))))))))</f>
        <v/>
      </c>
      <c r="M229" t="str">
        <f>IF(N229&lt;&gt;"W","",IF(TRIM(C229)&lt;&gt;"",TRIM(C229),IFERROR(LOOKUP(2,1/(N$9:N229="T"),D$9:D229),"")))</f>
        <v/>
      </c>
      <c r="N229" t="str">
        <f t="shared" si="11"/>
        <v/>
      </c>
      <c r="O229" t="str">
        <f>IF(M229="","",IF(COUNTIF(M$9:M229,M229)=1,MAX(O$8:O228)+1,""))</f>
        <v/>
      </c>
    </row>
    <row r="230" spans="1:15" x14ac:dyDescent="0.75">
      <c r="A230" s="24" t="str">
        <f>IF(N230="W",COUNTIF(N$9:N230,"W"),"")</f>
        <v/>
      </c>
      <c r="B230" s="25"/>
      <c r="C230" s="25"/>
      <c r="D230" s="26"/>
      <c r="E230" s="25"/>
      <c r="F230" s="27"/>
      <c r="G230" s="28"/>
      <c r="H230" s="28"/>
      <c r="I230" s="29" t="str">
        <f t="shared" si="9"/>
        <v/>
      </c>
      <c r="J230" s="30" t="str">
        <f t="shared" si="10"/>
        <v/>
      </c>
      <c r="K230" s="26"/>
      <c r="L230" s="24" t="str">
        <f>IF(N230="","",IF(N230="T","Título de capítulo",IF(OR(ISERROR(F230),ISERROR(G230),ISERROR(H230)),"Error en fórmula: pegá como valores",IF(AND(B230="",$C$6=""),"Falta sector",IF(M230="","Falta capítulo",IF(TRIM(E230)="","Falta unidad",IF(NOT((COUNTIF(Listas!$A$2:$A$40,E230)+COUNTIF(Listas!$D$2:$D$60,E230)&gt;0)),"Unidad no reconocida",IF(AND(F230&lt;&gt;"",NOT(ISNUMBER(F230))),"Cantidad no es número",IF(N(F230)&lt;=0,"Falta cantidad",IF(OR(AND(G230&lt;&gt;"",NOT(ISNUMBER(G230))),AND(H230&lt;&gt;"",NOT(ISNUMBER(H230)))),"Precio no es número",IF(N(G230)+N(H230)&lt;=0,"Falta precio","✓ OK")))))))))))</f>
        <v/>
      </c>
      <c r="M230" t="str">
        <f>IF(N230&lt;&gt;"W","",IF(TRIM(C230)&lt;&gt;"",TRIM(C230),IFERROR(LOOKUP(2,1/(N$9:N230="T"),D$9:D230),"")))</f>
        <v/>
      </c>
      <c r="N230" t="str">
        <f t="shared" si="11"/>
        <v/>
      </c>
      <c r="O230" t="str">
        <f>IF(M230="","",IF(COUNTIF(M$9:M230,M230)=1,MAX(O$8:O229)+1,""))</f>
        <v/>
      </c>
    </row>
    <row r="231" spans="1:15" x14ac:dyDescent="0.75">
      <c r="A231" s="24" t="str">
        <f>IF(N231="W",COUNTIF(N$9:N231,"W"),"")</f>
        <v/>
      </c>
      <c r="B231" s="25"/>
      <c r="C231" s="25"/>
      <c r="D231" s="26"/>
      <c r="E231" s="25"/>
      <c r="F231" s="27"/>
      <c r="G231" s="28"/>
      <c r="H231" s="28"/>
      <c r="I231" s="29" t="str">
        <f t="shared" si="9"/>
        <v/>
      </c>
      <c r="J231" s="30" t="str">
        <f t="shared" si="10"/>
        <v/>
      </c>
      <c r="K231" s="26"/>
      <c r="L231" s="24" t="str">
        <f>IF(N231="","",IF(N231="T","Título de capítulo",IF(OR(ISERROR(F231),ISERROR(G231),ISERROR(H231)),"Error en fórmula: pegá como valores",IF(AND(B231="",$C$6=""),"Falta sector",IF(M231="","Falta capítulo",IF(TRIM(E231)="","Falta unidad",IF(NOT((COUNTIF(Listas!$A$2:$A$40,E231)+COUNTIF(Listas!$D$2:$D$60,E231)&gt;0)),"Unidad no reconocida",IF(AND(F231&lt;&gt;"",NOT(ISNUMBER(F231))),"Cantidad no es número",IF(N(F231)&lt;=0,"Falta cantidad",IF(OR(AND(G231&lt;&gt;"",NOT(ISNUMBER(G231))),AND(H231&lt;&gt;"",NOT(ISNUMBER(H231)))),"Precio no es número",IF(N(G231)+N(H231)&lt;=0,"Falta precio","✓ OK")))))))))))</f>
        <v/>
      </c>
      <c r="M231" t="str">
        <f>IF(N231&lt;&gt;"W","",IF(TRIM(C231)&lt;&gt;"",TRIM(C231),IFERROR(LOOKUP(2,1/(N$9:N231="T"),D$9:D231),"")))</f>
        <v/>
      </c>
      <c r="N231" t="str">
        <f t="shared" si="11"/>
        <v/>
      </c>
      <c r="O231" t="str">
        <f>IF(M231="","",IF(COUNTIF(M$9:M231,M231)=1,MAX(O$8:O230)+1,""))</f>
        <v/>
      </c>
    </row>
    <row r="232" spans="1:15" x14ac:dyDescent="0.75">
      <c r="A232" s="24" t="str">
        <f>IF(N232="W",COUNTIF(N$9:N232,"W"),"")</f>
        <v/>
      </c>
      <c r="B232" s="25"/>
      <c r="C232" s="25"/>
      <c r="D232" s="26"/>
      <c r="E232" s="25"/>
      <c r="F232" s="27"/>
      <c r="G232" s="28"/>
      <c r="H232" s="28"/>
      <c r="I232" s="29" t="str">
        <f t="shared" si="9"/>
        <v/>
      </c>
      <c r="J232" s="30" t="str">
        <f t="shared" si="10"/>
        <v/>
      </c>
      <c r="K232" s="26"/>
      <c r="L232" s="24" t="str">
        <f>IF(N232="","",IF(N232="T","Título de capítulo",IF(OR(ISERROR(F232),ISERROR(G232),ISERROR(H232)),"Error en fórmula: pegá como valores",IF(AND(B232="",$C$6=""),"Falta sector",IF(M232="","Falta capítulo",IF(TRIM(E232)="","Falta unidad",IF(NOT((COUNTIF(Listas!$A$2:$A$40,E232)+COUNTIF(Listas!$D$2:$D$60,E232)&gt;0)),"Unidad no reconocida",IF(AND(F232&lt;&gt;"",NOT(ISNUMBER(F232))),"Cantidad no es número",IF(N(F232)&lt;=0,"Falta cantidad",IF(OR(AND(G232&lt;&gt;"",NOT(ISNUMBER(G232))),AND(H232&lt;&gt;"",NOT(ISNUMBER(H232)))),"Precio no es número",IF(N(G232)+N(H232)&lt;=0,"Falta precio","✓ OK")))))))))))</f>
        <v/>
      </c>
      <c r="M232" t="str">
        <f>IF(N232&lt;&gt;"W","",IF(TRIM(C232)&lt;&gt;"",TRIM(C232),IFERROR(LOOKUP(2,1/(N$9:N232="T"),D$9:D232),"")))</f>
        <v/>
      </c>
      <c r="N232" t="str">
        <f t="shared" si="11"/>
        <v/>
      </c>
      <c r="O232" t="str">
        <f>IF(M232="","",IF(COUNTIF(M$9:M232,M232)=1,MAX(O$8:O231)+1,""))</f>
        <v/>
      </c>
    </row>
    <row r="233" spans="1:15" x14ac:dyDescent="0.75">
      <c r="A233" s="24" t="str">
        <f>IF(N233="W",COUNTIF(N$9:N233,"W"),"")</f>
        <v/>
      </c>
      <c r="B233" s="25"/>
      <c r="C233" s="25"/>
      <c r="D233" s="26"/>
      <c r="E233" s="25"/>
      <c r="F233" s="27"/>
      <c r="G233" s="28"/>
      <c r="H233" s="28"/>
      <c r="I233" s="29" t="str">
        <f t="shared" si="9"/>
        <v/>
      </c>
      <c r="J233" s="30" t="str">
        <f t="shared" si="10"/>
        <v/>
      </c>
      <c r="K233" s="26"/>
      <c r="L233" s="24" t="str">
        <f>IF(N233="","",IF(N233="T","Título de capítulo",IF(OR(ISERROR(F233),ISERROR(G233),ISERROR(H233)),"Error en fórmula: pegá como valores",IF(AND(B233="",$C$6=""),"Falta sector",IF(M233="","Falta capítulo",IF(TRIM(E233)="","Falta unidad",IF(NOT((COUNTIF(Listas!$A$2:$A$40,E233)+COUNTIF(Listas!$D$2:$D$60,E233)&gt;0)),"Unidad no reconocida",IF(AND(F233&lt;&gt;"",NOT(ISNUMBER(F233))),"Cantidad no es número",IF(N(F233)&lt;=0,"Falta cantidad",IF(OR(AND(G233&lt;&gt;"",NOT(ISNUMBER(G233))),AND(H233&lt;&gt;"",NOT(ISNUMBER(H233)))),"Precio no es número",IF(N(G233)+N(H233)&lt;=0,"Falta precio","✓ OK")))))))))))</f>
        <v/>
      </c>
      <c r="M233" t="str">
        <f>IF(N233&lt;&gt;"W","",IF(TRIM(C233)&lt;&gt;"",TRIM(C233),IFERROR(LOOKUP(2,1/(N$9:N233="T"),D$9:D233),"")))</f>
        <v/>
      </c>
      <c r="N233" t="str">
        <f t="shared" si="11"/>
        <v/>
      </c>
      <c r="O233" t="str">
        <f>IF(M233="","",IF(COUNTIF(M$9:M233,M233)=1,MAX(O$8:O232)+1,""))</f>
        <v/>
      </c>
    </row>
    <row r="234" spans="1:15" x14ac:dyDescent="0.75">
      <c r="A234" s="24" t="str">
        <f>IF(N234="W",COUNTIF(N$9:N234,"W"),"")</f>
        <v/>
      </c>
      <c r="B234" s="25"/>
      <c r="C234" s="25"/>
      <c r="D234" s="26"/>
      <c r="E234" s="25"/>
      <c r="F234" s="27"/>
      <c r="G234" s="28"/>
      <c r="H234" s="28"/>
      <c r="I234" s="29" t="str">
        <f t="shared" si="9"/>
        <v/>
      </c>
      <c r="J234" s="30" t="str">
        <f t="shared" si="10"/>
        <v/>
      </c>
      <c r="K234" s="26"/>
      <c r="L234" s="24" t="str">
        <f>IF(N234="","",IF(N234="T","Título de capítulo",IF(OR(ISERROR(F234),ISERROR(G234),ISERROR(H234)),"Error en fórmula: pegá como valores",IF(AND(B234="",$C$6=""),"Falta sector",IF(M234="","Falta capítulo",IF(TRIM(E234)="","Falta unidad",IF(NOT((COUNTIF(Listas!$A$2:$A$40,E234)+COUNTIF(Listas!$D$2:$D$60,E234)&gt;0)),"Unidad no reconocida",IF(AND(F234&lt;&gt;"",NOT(ISNUMBER(F234))),"Cantidad no es número",IF(N(F234)&lt;=0,"Falta cantidad",IF(OR(AND(G234&lt;&gt;"",NOT(ISNUMBER(G234))),AND(H234&lt;&gt;"",NOT(ISNUMBER(H234)))),"Precio no es número",IF(N(G234)+N(H234)&lt;=0,"Falta precio","✓ OK")))))))))))</f>
        <v/>
      </c>
      <c r="M234" t="str">
        <f>IF(N234&lt;&gt;"W","",IF(TRIM(C234)&lt;&gt;"",TRIM(C234),IFERROR(LOOKUP(2,1/(N$9:N234="T"),D$9:D234),"")))</f>
        <v/>
      </c>
      <c r="N234" t="str">
        <f t="shared" si="11"/>
        <v/>
      </c>
      <c r="O234" t="str">
        <f>IF(M234="","",IF(COUNTIF(M$9:M234,M234)=1,MAX(O$8:O233)+1,""))</f>
        <v/>
      </c>
    </row>
    <row r="235" spans="1:15" x14ac:dyDescent="0.75">
      <c r="A235" s="24" t="str">
        <f>IF(N235="W",COUNTIF(N$9:N235,"W"),"")</f>
        <v/>
      </c>
      <c r="B235" s="25"/>
      <c r="C235" s="25"/>
      <c r="D235" s="26"/>
      <c r="E235" s="25"/>
      <c r="F235" s="27"/>
      <c r="G235" s="28"/>
      <c r="H235" s="28"/>
      <c r="I235" s="29" t="str">
        <f t="shared" si="9"/>
        <v/>
      </c>
      <c r="J235" s="30" t="str">
        <f t="shared" si="10"/>
        <v/>
      </c>
      <c r="K235" s="26"/>
      <c r="L235" s="24" t="str">
        <f>IF(N235="","",IF(N235="T","Título de capítulo",IF(OR(ISERROR(F235),ISERROR(G235),ISERROR(H235)),"Error en fórmula: pegá como valores",IF(AND(B235="",$C$6=""),"Falta sector",IF(M235="","Falta capítulo",IF(TRIM(E235)="","Falta unidad",IF(NOT((COUNTIF(Listas!$A$2:$A$40,E235)+COUNTIF(Listas!$D$2:$D$60,E235)&gt;0)),"Unidad no reconocida",IF(AND(F235&lt;&gt;"",NOT(ISNUMBER(F235))),"Cantidad no es número",IF(N(F235)&lt;=0,"Falta cantidad",IF(OR(AND(G235&lt;&gt;"",NOT(ISNUMBER(G235))),AND(H235&lt;&gt;"",NOT(ISNUMBER(H235)))),"Precio no es número",IF(N(G235)+N(H235)&lt;=0,"Falta precio","✓ OK")))))))))))</f>
        <v/>
      </c>
      <c r="M235" t="str">
        <f>IF(N235&lt;&gt;"W","",IF(TRIM(C235)&lt;&gt;"",TRIM(C235),IFERROR(LOOKUP(2,1/(N$9:N235="T"),D$9:D235),"")))</f>
        <v/>
      </c>
      <c r="N235" t="str">
        <f t="shared" si="11"/>
        <v/>
      </c>
      <c r="O235" t="str">
        <f>IF(M235="","",IF(COUNTIF(M$9:M235,M235)=1,MAX(O$8:O234)+1,""))</f>
        <v/>
      </c>
    </row>
    <row r="236" spans="1:15" x14ac:dyDescent="0.75">
      <c r="A236" s="24" t="str">
        <f>IF(N236="W",COUNTIF(N$9:N236,"W"),"")</f>
        <v/>
      </c>
      <c r="B236" s="25"/>
      <c r="C236" s="25"/>
      <c r="D236" s="26"/>
      <c r="E236" s="25"/>
      <c r="F236" s="27"/>
      <c r="G236" s="28"/>
      <c r="H236" s="28"/>
      <c r="I236" s="29" t="str">
        <f t="shared" si="9"/>
        <v/>
      </c>
      <c r="J236" s="30" t="str">
        <f t="shared" si="10"/>
        <v/>
      </c>
      <c r="K236" s="26"/>
      <c r="L236" s="24" t="str">
        <f>IF(N236="","",IF(N236="T","Título de capítulo",IF(OR(ISERROR(F236),ISERROR(G236),ISERROR(H236)),"Error en fórmula: pegá como valores",IF(AND(B236="",$C$6=""),"Falta sector",IF(M236="","Falta capítulo",IF(TRIM(E236)="","Falta unidad",IF(NOT((COUNTIF(Listas!$A$2:$A$40,E236)+COUNTIF(Listas!$D$2:$D$60,E236)&gt;0)),"Unidad no reconocida",IF(AND(F236&lt;&gt;"",NOT(ISNUMBER(F236))),"Cantidad no es número",IF(N(F236)&lt;=0,"Falta cantidad",IF(OR(AND(G236&lt;&gt;"",NOT(ISNUMBER(G236))),AND(H236&lt;&gt;"",NOT(ISNUMBER(H236)))),"Precio no es número",IF(N(G236)+N(H236)&lt;=0,"Falta precio","✓ OK")))))))))))</f>
        <v/>
      </c>
      <c r="M236" t="str">
        <f>IF(N236&lt;&gt;"W","",IF(TRIM(C236)&lt;&gt;"",TRIM(C236),IFERROR(LOOKUP(2,1/(N$9:N236="T"),D$9:D236),"")))</f>
        <v/>
      </c>
      <c r="N236" t="str">
        <f t="shared" si="11"/>
        <v/>
      </c>
      <c r="O236" t="str">
        <f>IF(M236="","",IF(COUNTIF(M$9:M236,M236)=1,MAX(O$8:O235)+1,""))</f>
        <v/>
      </c>
    </row>
    <row r="237" spans="1:15" x14ac:dyDescent="0.75">
      <c r="A237" s="24" t="str">
        <f>IF(N237="W",COUNTIF(N$9:N237,"W"),"")</f>
        <v/>
      </c>
      <c r="B237" s="25"/>
      <c r="C237" s="25"/>
      <c r="D237" s="26"/>
      <c r="E237" s="25"/>
      <c r="F237" s="27"/>
      <c r="G237" s="28"/>
      <c r="H237" s="28"/>
      <c r="I237" s="29" t="str">
        <f t="shared" si="9"/>
        <v/>
      </c>
      <c r="J237" s="30" t="str">
        <f t="shared" si="10"/>
        <v/>
      </c>
      <c r="K237" s="26"/>
      <c r="L237" s="24" t="str">
        <f>IF(N237="","",IF(N237="T","Título de capítulo",IF(OR(ISERROR(F237),ISERROR(G237),ISERROR(H237)),"Error en fórmula: pegá como valores",IF(AND(B237="",$C$6=""),"Falta sector",IF(M237="","Falta capítulo",IF(TRIM(E237)="","Falta unidad",IF(NOT((COUNTIF(Listas!$A$2:$A$40,E237)+COUNTIF(Listas!$D$2:$D$60,E237)&gt;0)),"Unidad no reconocida",IF(AND(F237&lt;&gt;"",NOT(ISNUMBER(F237))),"Cantidad no es número",IF(N(F237)&lt;=0,"Falta cantidad",IF(OR(AND(G237&lt;&gt;"",NOT(ISNUMBER(G237))),AND(H237&lt;&gt;"",NOT(ISNUMBER(H237)))),"Precio no es número",IF(N(G237)+N(H237)&lt;=0,"Falta precio","✓ OK")))))))))))</f>
        <v/>
      </c>
      <c r="M237" t="str">
        <f>IF(N237&lt;&gt;"W","",IF(TRIM(C237)&lt;&gt;"",TRIM(C237),IFERROR(LOOKUP(2,1/(N$9:N237="T"),D$9:D237),"")))</f>
        <v/>
      </c>
      <c r="N237" t="str">
        <f t="shared" si="11"/>
        <v/>
      </c>
      <c r="O237" t="str">
        <f>IF(M237="","",IF(COUNTIF(M$9:M237,M237)=1,MAX(O$8:O236)+1,""))</f>
        <v/>
      </c>
    </row>
    <row r="238" spans="1:15" x14ac:dyDescent="0.75">
      <c r="A238" s="24" t="str">
        <f>IF(N238="W",COUNTIF(N$9:N238,"W"),"")</f>
        <v/>
      </c>
      <c r="B238" s="25"/>
      <c r="C238" s="25"/>
      <c r="D238" s="26"/>
      <c r="E238" s="25"/>
      <c r="F238" s="27"/>
      <c r="G238" s="28"/>
      <c r="H238" s="28"/>
      <c r="I238" s="29" t="str">
        <f t="shared" si="9"/>
        <v/>
      </c>
      <c r="J238" s="30" t="str">
        <f t="shared" si="10"/>
        <v/>
      </c>
      <c r="K238" s="26"/>
      <c r="L238" s="24" t="str">
        <f>IF(N238="","",IF(N238="T","Título de capítulo",IF(OR(ISERROR(F238),ISERROR(G238),ISERROR(H238)),"Error en fórmula: pegá como valores",IF(AND(B238="",$C$6=""),"Falta sector",IF(M238="","Falta capítulo",IF(TRIM(E238)="","Falta unidad",IF(NOT((COUNTIF(Listas!$A$2:$A$40,E238)+COUNTIF(Listas!$D$2:$D$60,E238)&gt;0)),"Unidad no reconocida",IF(AND(F238&lt;&gt;"",NOT(ISNUMBER(F238))),"Cantidad no es número",IF(N(F238)&lt;=0,"Falta cantidad",IF(OR(AND(G238&lt;&gt;"",NOT(ISNUMBER(G238))),AND(H238&lt;&gt;"",NOT(ISNUMBER(H238)))),"Precio no es número",IF(N(G238)+N(H238)&lt;=0,"Falta precio","✓ OK")))))))))))</f>
        <v/>
      </c>
      <c r="M238" t="str">
        <f>IF(N238&lt;&gt;"W","",IF(TRIM(C238)&lt;&gt;"",TRIM(C238),IFERROR(LOOKUP(2,1/(N$9:N238="T"),D$9:D238),"")))</f>
        <v/>
      </c>
      <c r="N238" t="str">
        <f t="shared" si="11"/>
        <v/>
      </c>
      <c r="O238" t="str">
        <f>IF(M238="","",IF(COUNTIF(M$9:M238,M238)=1,MAX(O$8:O237)+1,""))</f>
        <v/>
      </c>
    </row>
    <row r="239" spans="1:15" x14ac:dyDescent="0.75">
      <c r="A239" s="24" t="str">
        <f>IF(N239="W",COUNTIF(N$9:N239,"W"),"")</f>
        <v/>
      </c>
      <c r="B239" s="25"/>
      <c r="C239" s="25"/>
      <c r="D239" s="26"/>
      <c r="E239" s="25"/>
      <c r="F239" s="27"/>
      <c r="G239" s="28"/>
      <c r="H239" s="28"/>
      <c r="I239" s="29" t="str">
        <f t="shared" si="9"/>
        <v/>
      </c>
      <c r="J239" s="30" t="str">
        <f t="shared" si="10"/>
        <v/>
      </c>
      <c r="K239" s="26"/>
      <c r="L239" s="24" t="str">
        <f>IF(N239="","",IF(N239="T","Título de capítulo",IF(OR(ISERROR(F239),ISERROR(G239),ISERROR(H239)),"Error en fórmula: pegá como valores",IF(AND(B239="",$C$6=""),"Falta sector",IF(M239="","Falta capítulo",IF(TRIM(E239)="","Falta unidad",IF(NOT((COUNTIF(Listas!$A$2:$A$40,E239)+COUNTIF(Listas!$D$2:$D$60,E239)&gt;0)),"Unidad no reconocida",IF(AND(F239&lt;&gt;"",NOT(ISNUMBER(F239))),"Cantidad no es número",IF(N(F239)&lt;=0,"Falta cantidad",IF(OR(AND(G239&lt;&gt;"",NOT(ISNUMBER(G239))),AND(H239&lt;&gt;"",NOT(ISNUMBER(H239)))),"Precio no es número",IF(N(G239)+N(H239)&lt;=0,"Falta precio","✓ OK")))))))))))</f>
        <v/>
      </c>
      <c r="M239" t="str">
        <f>IF(N239&lt;&gt;"W","",IF(TRIM(C239)&lt;&gt;"",TRIM(C239),IFERROR(LOOKUP(2,1/(N$9:N239="T"),D$9:D239),"")))</f>
        <v/>
      </c>
      <c r="N239" t="str">
        <f t="shared" si="11"/>
        <v/>
      </c>
      <c r="O239" t="str">
        <f>IF(M239="","",IF(COUNTIF(M$9:M239,M239)=1,MAX(O$8:O238)+1,""))</f>
        <v/>
      </c>
    </row>
    <row r="240" spans="1:15" x14ac:dyDescent="0.75">
      <c r="A240" s="24" t="str">
        <f>IF(N240="W",COUNTIF(N$9:N240,"W"),"")</f>
        <v/>
      </c>
      <c r="B240" s="25"/>
      <c r="C240" s="25"/>
      <c r="D240" s="26"/>
      <c r="E240" s="25"/>
      <c r="F240" s="27"/>
      <c r="G240" s="28"/>
      <c r="H240" s="28"/>
      <c r="I240" s="29" t="str">
        <f t="shared" si="9"/>
        <v/>
      </c>
      <c r="J240" s="30" t="str">
        <f t="shared" si="10"/>
        <v/>
      </c>
      <c r="K240" s="26"/>
      <c r="L240" s="24" t="str">
        <f>IF(N240="","",IF(N240="T","Título de capítulo",IF(OR(ISERROR(F240),ISERROR(G240),ISERROR(H240)),"Error en fórmula: pegá como valores",IF(AND(B240="",$C$6=""),"Falta sector",IF(M240="","Falta capítulo",IF(TRIM(E240)="","Falta unidad",IF(NOT((COUNTIF(Listas!$A$2:$A$40,E240)+COUNTIF(Listas!$D$2:$D$60,E240)&gt;0)),"Unidad no reconocida",IF(AND(F240&lt;&gt;"",NOT(ISNUMBER(F240))),"Cantidad no es número",IF(N(F240)&lt;=0,"Falta cantidad",IF(OR(AND(G240&lt;&gt;"",NOT(ISNUMBER(G240))),AND(H240&lt;&gt;"",NOT(ISNUMBER(H240)))),"Precio no es número",IF(N(G240)+N(H240)&lt;=0,"Falta precio","✓ OK")))))))))))</f>
        <v/>
      </c>
      <c r="M240" t="str">
        <f>IF(N240&lt;&gt;"W","",IF(TRIM(C240)&lt;&gt;"",TRIM(C240),IFERROR(LOOKUP(2,1/(N$9:N240="T"),D$9:D240),"")))</f>
        <v/>
      </c>
      <c r="N240" t="str">
        <f t="shared" si="11"/>
        <v/>
      </c>
      <c r="O240" t="str">
        <f>IF(M240="","",IF(COUNTIF(M$9:M240,M240)=1,MAX(O$8:O239)+1,""))</f>
        <v/>
      </c>
    </row>
    <row r="241" spans="1:15" x14ac:dyDescent="0.75">
      <c r="A241" s="24" t="str">
        <f>IF(N241="W",COUNTIF(N$9:N241,"W"),"")</f>
        <v/>
      </c>
      <c r="B241" s="25"/>
      <c r="C241" s="25"/>
      <c r="D241" s="26"/>
      <c r="E241" s="25"/>
      <c r="F241" s="27"/>
      <c r="G241" s="28"/>
      <c r="H241" s="28"/>
      <c r="I241" s="29" t="str">
        <f t="shared" si="9"/>
        <v/>
      </c>
      <c r="J241" s="30" t="str">
        <f t="shared" si="10"/>
        <v/>
      </c>
      <c r="K241" s="26"/>
      <c r="L241" s="24" t="str">
        <f>IF(N241="","",IF(N241="T","Título de capítulo",IF(OR(ISERROR(F241),ISERROR(G241),ISERROR(H241)),"Error en fórmula: pegá como valores",IF(AND(B241="",$C$6=""),"Falta sector",IF(M241="","Falta capítulo",IF(TRIM(E241)="","Falta unidad",IF(NOT((COUNTIF(Listas!$A$2:$A$40,E241)+COUNTIF(Listas!$D$2:$D$60,E241)&gt;0)),"Unidad no reconocida",IF(AND(F241&lt;&gt;"",NOT(ISNUMBER(F241))),"Cantidad no es número",IF(N(F241)&lt;=0,"Falta cantidad",IF(OR(AND(G241&lt;&gt;"",NOT(ISNUMBER(G241))),AND(H241&lt;&gt;"",NOT(ISNUMBER(H241)))),"Precio no es número",IF(N(G241)+N(H241)&lt;=0,"Falta precio","✓ OK")))))))))))</f>
        <v/>
      </c>
      <c r="M241" t="str">
        <f>IF(N241&lt;&gt;"W","",IF(TRIM(C241)&lt;&gt;"",TRIM(C241),IFERROR(LOOKUP(2,1/(N$9:N241="T"),D$9:D241),"")))</f>
        <v/>
      </c>
      <c r="N241" t="str">
        <f t="shared" si="11"/>
        <v/>
      </c>
      <c r="O241" t="str">
        <f>IF(M241="","",IF(COUNTIF(M$9:M241,M241)=1,MAX(O$8:O240)+1,""))</f>
        <v/>
      </c>
    </row>
    <row r="242" spans="1:15" x14ac:dyDescent="0.75">
      <c r="A242" s="24" t="str">
        <f>IF(N242="W",COUNTIF(N$9:N242,"W"),"")</f>
        <v/>
      </c>
      <c r="B242" s="25"/>
      <c r="C242" s="25"/>
      <c r="D242" s="26"/>
      <c r="E242" s="25"/>
      <c r="F242" s="27"/>
      <c r="G242" s="28"/>
      <c r="H242" s="28"/>
      <c r="I242" s="29" t="str">
        <f t="shared" si="9"/>
        <v/>
      </c>
      <c r="J242" s="30" t="str">
        <f t="shared" si="10"/>
        <v/>
      </c>
      <c r="K242" s="26"/>
      <c r="L242" s="24" t="str">
        <f>IF(N242="","",IF(N242="T","Título de capítulo",IF(OR(ISERROR(F242),ISERROR(G242),ISERROR(H242)),"Error en fórmula: pegá como valores",IF(AND(B242="",$C$6=""),"Falta sector",IF(M242="","Falta capítulo",IF(TRIM(E242)="","Falta unidad",IF(NOT((COUNTIF(Listas!$A$2:$A$40,E242)+COUNTIF(Listas!$D$2:$D$60,E242)&gt;0)),"Unidad no reconocida",IF(AND(F242&lt;&gt;"",NOT(ISNUMBER(F242))),"Cantidad no es número",IF(N(F242)&lt;=0,"Falta cantidad",IF(OR(AND(G242&lt;&gt;"",NOT(ISNUMBER(G242))),AND(H242&lt;&gt;"",NOT(ISNUMBER(H242)))),"Precio no es número",IF(N(G242)+N(H242)&lt;=0,"Falta precio","✓ OK")))))))))))</f>
        <v/>
      </c>
      <c r="M242" t="str">
        <f>IF(N242&lt;&gt;"W","",IF(TRIM(C242)&lt;&gt;"",TRIM(C242),IFERROR(LOOKUP(2,1/(N$9:N242="T"),D$9:D242),"")))</f>
        <v/>
      </c>
      <c r="N242" t="str">
        <f t="shared" si="11"/>
        <v/>
      </c>
      <c r="O242" t="str">
        <f>IF(M242="","",IF(COUNTIF(M$9:M242,M242)=1,MAX(O$8:O241)+1,""))</f>
        <v/>
      </c>
    </row>
    <row r="243" spans="1:15" x14ac:dyDescent="0.75">
      <c r="A243" s="24" t="str">
        <f>IF(N243="W",COUNTIF(N$9:N243,"W"),"")</f>
        <v/>
      </c>
      <c r="B243" s="25"/>
      <c r="C243" s="25"/>
      <c r="D243" s="26"/>
      <c r="E243" s="25"/>
      <c r="F243" s="27"/>
      <c r="G243" s="28"/>
      <c r="H243" s="28"/>
      <c r="I243" s="29" t="str">
        <f t="shared" si="9"/>
        <v/>
      </c>
      <c r="J243" s="30" t="str">
        <f t="shared" si="10"/>
        <v/>
      </c>
      <c r="K243" s="26"/>
      <c r="L243" s="24" t="str">
        <f>IF(N243="","",IF(N243="T","Título de capítulo",IF(OR(ISERROR(F243),ISERROR(G243),ISERROR(H243)),"Error en fórmula: pegá como valores",IF(AND(B243="",$C$6=""),"Falta sector",IF(M243="","Falta capítulo",IF(TRIM(E243)="","Falta unidad",IF(NOT((COUNTIF(Listas!$A$2:$A$40,E243)+COUNTIF(Listas!$D$2:$D$60,E243)&gt;0)),"Unidad no reconocida",IF(AND(F243&lt;&gt;"",NOT(ISNUMBER(F243))),"Cantidad no es número",IF(N(F243)&lt;=0,"Falta cantidad",IF(OR(AND(G243&lt;&gt;"",NOT(ISNUMBER(G243))),AND(H243&lt;&gt;"",NOT(ISNUMBER(H243)))),"Precio no es número",IF(N(G243)+N(H243)&lt;=0,"Falta precio","✓ OK")))))))))))</f>
        <v/>
      </c>
      <c r="M243" t="str">
        <f>IF(N243&lt;&gt;"W","",IF(TRIM(C243)&lt;&gt;"",TRIM(C243),IFERROR(LOOKUP(2,1/(N$9:N243="T"),D$9:D243),"")))</f>
        <v/>
      </c>
      <c r="N243" t="str">
        <f t="shared" si="11"/>
        <v/>
      </c>
      <c r="O243" t="str">
        <f>IF(M243="","",IF(COUNTIF(M$9:M243,M243)=1,MAX(O$8:O242)+1,""))</f>
        <v/>
      </c>
    </row>
    <row r="244" spans="1:15" x14ac:dyDescent="0.75">
      <c r="A244" s="24" t="str">
        <f>IF(N244="W",COUNTIF(N$9:N244,"W"),"")</f>
        <v/>
      </c>
      <c r="B244" s="25"/>
      <c r="C244" s="25"/>
      <c r="D244" s="26"/>
      <c r="E244" s="25"/>
      <c r="F244" s="27"/>
      <c r="G244" s="28"/>
      <c r="H244" s="28"/>
      <c r="I244" s="29" t="str">
        <f t="shared" si="9"/>
        <v/>
      </c>
      <c r="J244" s="30" t="str">
        <f t="shared" si="10"/>
        <v/>
      </c>
      <c r="K244" s="26"/>
      <c r="L244" s="24" t="str">
        <f>IF(N244="","",IF(N244="T","Título de capítulo",IF(OR(ISERROR(F244),ISERROR(G244),ISERROR(H244)),"Error en fórmula: pegá como valores",IF(AND(B244="",$C$6=""),"Falta sector",IF(M244="","Falta capítulo",IF(TRIM(E244)="","Falta unidad",IF(NOT((COUNTIF(Listas!$A$2:$A$40,E244)+COUNTIF(Listas!$D$2:$D$60,E244)&gt;0)),"Unidad no reconocida",IF(AND(F244&lt;&gt;"",NOT(ISNUMBER(F244))),"Cantidad no es número",IF(N(F244)&lt;=0,"Falta cantidad",IF(OR(AND(G244&lt;&gt;"",NOT(ISNUMBER(G244))),AND(H244&lt;&gt;"",NOT(ISNUMBER(H244)))),"Precio no es número",IF(N(G244)+N(H244)&lt;=0,"Falta precio","✓ OK")))))))))))</f>
        <v/>
      </c>
      <c r="M244" t="str">
        <f>IF(N244&lt;&gt;"W","",IF(TRIM(C244)&lt;&gt;"",TRIM(C244),IFERROR(LOOKUP(2,1/(N$9:N244="T"),D$9:D244),"")))</f>
        <v/>
      </c>
      <c r="N244" t="str">
        <f t="shared" si="11"/>
        <v/>
      </c>
      <c r="O244" t="str">
        <f>IF(M244="","",IF(COUNTIF(M$9:M244,M244)=1,MAX(O$8:O243)+1,""))</f>
        <v/>
      </c>
    </row>
    <row r="245" spans="1:15" x14ac:dyDescent="0.75">
      <c r="A245" s="24" t="str">
        <f>IF(N245="W",COUNTIF(N$9:N245,"W"),"")</f>
        <v/>
      </c>
      <c r="B245" s="25"/>
      <c r="C245" s="25"/>
      <c r="D245" s="26"/>
      <c r="E245" s="25"/>
      <c r="F245" s="27"/>
      <c r="G245" s="28"/>
      <c r="H245" s="28"/>
      <c r="I245" s="29" t="str">
        <f t="shared" si="9"/>
        <v/>
      </c>
      <c r="J245" s="30" t="str">
        <f t="shared" si="10"/>
        <v/>
      </c>
      <c r="K245" s="26"/>
      <c r="L245" s="24" t="str">
        <f>IF(N245="","",IF(N245="T","Título de capítulo",IF(OR(ISERROR(F245),ISERROR(G245),ISERROR(H245)),"Error en fórmula: pegá como valores",IF(AND(B245="",$C$6=""),"Falta sector",IF(M245="","Falta capítulo",IF(TRIM(E245)="","Falta unidad",IF(NOT((COUNTIF(Listas!$A$2:$A$40,E245)+COUNTIF(Listas!$D$2:$D$60,E245)&gt;0)),"Unidad no reconocida",IF(AND(F245&lt;&gt;"",NOT(ISNUMBER(F245))),"Cantidad no es número",IF(N(F245)&lt;=0,"Falta cantidad",IF(OR(AND(G245&lt;&gt;"",NOT(ISNUMBER(G245))),AND(H245&lt;&gt;"",NOT(ISNUMBER(H245)))),"Precio no es número",IF(N(G245)+N(H245)&lt;=0,"Falta precio","✓ OK")))))))))))</f>
        <v/>
      </c>
      <c r="M245" t="str">
        <f>IF(N245&lt;&gt;"W","",IF(TRIM(C245)&lt;&gt;"",TRIM(C245),IFERROR(LOOKUP(2,1/(N$9:N245="T"),D$9:D245),"")))</f>
        <v/>
      </c>
      <c r="N245" t="str">
        <f t="shared" si="11"/>
        <v/>
      </c>
      <c r="O245" t="str">
        <f>IF(M245="","",IF(COUNTIF(M$9:M245,M245)=1,MAX(O$8:O244)+1,""))</f>
        <v/>
      </c>
    </row>
    <row r="246" spans="1:15" x14ac:dyDescent="0.75">
      <c r="A246" s="24" t="str">
        <f>IF(N246="W",COUNTIF(N$9:N246,"W"),"")</f>
        <v/>
      </c>
      <c r="B246" s="25"/>
      <c r="C246" s="25"/>
      <c r="D246" s="26"/>
      <c r="E246" s="25"/>
      <c r="F246" s="27"/>
      <c r="G246" s="28"/>
      <c r="H246" s="28"/>
      <c r="I246" s="29" t="str">
        <f t="shared" si="9"/>
        <v/>
      </c>
      <c r="J246" s="30" t="str">
        <f t="shared" si="10"/>
        <v/>
      </c>
      <c r="K246" s="26"/>
      <c r="L246" s="24" t="str">
        <f>IF(N246="","",IF(N246="T","Título de capítulo",IF(OR(ISERROR(F246),ISERROR(G246),ISERROR(H246)),"Error en fórmula: pegá como valores",IF(AND(B246="",$C$6=""),"Falta sector",IF(M246="","Falta capítulo",IF(TRIM(E246)="","Falta unidad",IF(NOT((COUNTIF(Listas!$A$2:$A$40,E246)+COUNTIF(Listas!$D$2:$D$60,E246)&gt;0)),"Unidad no reconocida",IF(AND(F246&lt;&gt;"",NOT(ISNUMBER(F246))),"Cantidad no es número",IF(N(F246)&lt;=0,"Falta cantidad",IF(OR(AND(G246&lt;&gt;"",NOT(ISNUMBER(G246))),AND(H246&lt;&gt;"",NOT(ISNUMBER(H246)))),"Precio no es número",IF(N(G246)+N(H246)&lt;=0,"Falta precio","✓ OK")))))))))))</f>
        <v/>
      </c>
      <c r="M246" t="str">
        <f>IF(N246&lt;&gt;"W","",IF(TRIM(C246)&lt;&gt;"",TRIM(C246),IFERROR(LOOKUP(2,1/(N$9:N246="T"),D$9:D246),"")))</f>
        <v/>
      </c>
      <c r="N246" t="str">
        <f t="shared" si="11"/>
        <v/>
      </c>
      <c r="O246" t="str">
        <f>IF(M246="","",IF(COUNTIF(M$9:M246,M246)=1,MAX(O$8:O245)+1,""))</f>
        <v/>
      </c>
    </row>
    <row r="247" spans="1:15" x14ac:dyDescent="0.75">
      <c r="A247" s="24" t="str">
        <f>IF(N247="W",COUNTIF(N$9:N247,"W"),"")</f>
        <v/>
      </c>
      <c r="B247" s="25"/>
      <c r="C247" s="25"/>
      <c r="D247" s="26"/>
      <c r="E247" s="25"/>
      <c r="F247" s="27"/>
      <c r="G247" s="28"/>
      <c r="H247" s="28"/>
      <c r="I247" s="29" t="str">
        <f t="shared" si="9"/>
        <v/>
      </c>
      <c r="J247" s="30" t="str">
        <f t="shared" si="10"/>
        <v/>
      </c>
      <c r="K247" s="26"/>
      <c r="L247" s="24" t="str">
        <f>IF(N247="","",IF(N247="T","Título de capítulo",IF(OR(ISERROR(F247),ISERROR(G247),ISERROR(H247)),"Error en fórmula: pegá como valores",IF(AND(B247="",$C$6=""),"Falta sector",IF(M247="","Falta capítulo",IF(TRIM(E247)="","Falta unidad",IF(NOT((COUNTIF(Listas!$A$2:$A$40,E247)+COUNTIF(Listas!$D$2:$D$60,E247)&gt;0)),"Unidad no reconocida",IF(AND(F247&lt;&gt;"",NOT(ISNUMBER(F247))),"Cantidad no es número",IF(N(F247)&lt;=0,"Falta cantidad",IF(OR(AND(G247&lt;&gt;"",NOT(ISNUMBER(G247))),AND(H247&lt;&gt;"",NOT(ISNUMBER(H247)))),"Precio no es número",IF(N(G247)+N(H247)&lt;=0,"Falta precio","✓ OK")))))))))))</f>
        <v/>
      </c>
      <c r="M247" t="str">
        <f>IF(N247&lt;&gt;"W","",IF(TRIM(C247)&lt;&gt;"",TRIM(C247),IFERROR(LOOKUP(2,1/(N$9:N247="T"),D$9:D247),"")))</f>
        <v/>
      </c>
      <c r="N247" t="str">
        <f t="shared" si="11"/>
        <v/>
      </c>
      <c r="O247" t="str">
        <f>IF(M247="","",IF(COUNTIF(M$9:M247,M247)=1,MAX(O$8:O246)+1,""))</f>
        <v/>
      </c>
    </row>
    <row r="248" spans="1:15" x14ac:dyDescent="0.75">
      <c r="A248" s="24" t="str">
        <f>IF(N248="W",COUNTIF(N$9:N248,"W"),"")</f>
        <v/>
      </c>
      <c r="B248" s="25"/>
      <c r="C248" s="25"/>
      <c r="D248" s="26"/>
      <c r="E248" s="25"/>
      <c r="F248" s="27"/>
      <c r="G248" s="28"/>
      <c r="H248" s="28"/>
      <c r="I248" s="29" t="str">
        <f t="shared" si="9"/>
        <v/>
      </c>
      <c r="J248" s="30" t="str">
        <f t="shared" si="10"/>
        <v/>
      </c>
      <c r="K248" s="26"/>
      <c r="L248" s="24" t="str">
        <f>IF(N248="","",IF(N248="T","Título de capítulo",IF(OR(ISERROR(F248),ISERROR(G248),ISERROR(H248)),"Error en fórmula: pegá como valores",IF(AND(B248="",$C$6=""),"Falta sector",IF(M248="","Falta capítulo",IF(TRIM(E248)="","Falta unidad",IF(NOT((COUNTIF(Listas!$A$2:$A$40,E248)+COUNTIF(Listas!$D$2:$D$60,E248)&gt;0)),"Unidad no reconocida",IF(AND(F248&lt;&gt;"",NOT(ISNUMBER(F248))),"Cantidad no es número",IF(N(F248)&lt;=0,"Falta cantidad",IF(OR(AND(G248&lt;&gt;"",NOT(ISNUMBER(G248))),AND(H248&lt;&gt;"",NOT(ISNUMBER(H248)))),"Precio no es número",IF(N(G248)+N(H248)&lt;=0,"Falta precio","✓ OK")))))))))))</f>
        <v/>
      </c>
      <c r="M248" t="str">
        <f>IF(N248&lt;&gt;"W","",IF(TRIM(C248)&lt;&gt;"",TRIM(C248),IFERROR(LOOKUP(2,1/(N$9:N248="T"),D$9:D248),"")))</f>
        <v/>
      </c>
      <c r="N248" t="str">
        <f t="shared" si="11"/>
        <v/>
      </c>
      <c r="O248" t="str">
        <f>IF(M248="","",IF(COUNTIF(M$9:M248,M248)=1,MAX(O$8:O247)+1,""))</f>
        <v/>
      </c>
    </row>
    <row r="249" spans="1:15" x14ac:dyDescent="0.75">
      <c r="A249" s="24" t="str">
        <f>IF(N249="W",COUNTIF(N$9:N249,"W"),"")</f>
        <v/>
      </c>
      <c r="B249" s="25"/>
      <c r="C249" s="25"/>
      <c r="D249" s="26"/>
      <c r="E249" s="25"/>
      <c r="F249" s="27"/>
      <c r="G249" s="28"/>
      <c r="H249" s="28"/>
      <c r="I249" s="29" t="str">
        <f t="shared" si="9"/>
        <v/>
      </c>
      <c r="J249" s="30" t="str">
        <f t="shared" si="10"/>
        <v/>
      </c>
      <c r="K249" s="26"/>
      <c r="L249" s="24" t="str">
        <f>IF(N249="","",IF(N249="T","Título de capítulo",IF(OR(ISERROR(F249),ISERROR(G249),ISERROR(H249)),"Error en fórmula: pegá como valores",IF(AND(B249="",$C$6=""),"Falta sector",IF(M249="","Falta capítulo",IF(TRIM(E249)="","Falta unidad",IF(NOT((COUNTIF(Listas!$A$2:$A$40,E249)+COUNTIF(Listas!$D$2:$D$60,E249)&gt;0)),"Unidad no reconocida",IF(AND(F249&lt;&gt;"",NOT(ISNUMBER(F249))),"Cantidad no es número",IF(N(F249)&lt;=0,"Falta cantidad",IF(OR(AND(G249&lt;&gt;"",NOT(ISNUMBER(G249))),AND(H249&lt;&gt;"",NOT(ISNUMBER(H249)))),"Precio no es número",IF(N(G249)+N(H249)&lt;=0,"Falta precio","✓ OK")))))))))))</f>
        <v/>
      </c>
      <c r="M249" t="str">
        <f>IF(N249&lt;&gt;"W","",IF(TRIM(C249)&lt;&gt;"",TRIM(C249),IFERROR(LOOKUP(2,1/(N$9:N249="T"),D$9:D249),"")))</f>
        <v/>
      </c>
      <c r="N249" t="str">
        <f t="shared" si="11"/>
        <v/>
      </c>
      <c r="O249" t="str">
        <f>IF(M249="","",IF(COUNTIF(M$9:M249,M249)=1,MAX(O$8:O248)+1,""))</f>
        <v/>
      </c>
    </row>
    <row r="250" spans="1:15" x14ac:dyDescent="0.75">
      <c r="A250" s="24" t="str">
        <f>IF(N250="W",COUNTIF(N$9:N250,"W"),"")</f>
        <v/>
      </c>
      <c r="B250" s="25"/>
      <c r="C250" s="25"/>
      <c r="D250" s="26"/>
      <c r="E250" s="25"/>
      <c r="F250" s="27"/>
      <c r="G250" s="28"/>
      <c r="H250" s="28"/>
      <c r="I250" s="29" t="str">
        <f t="shared" si="9"/>
        <v/>
      </c>
      <c r="J250" s="30" t="str">
        <f t="shared" si="10"/>
        <v/>
      </c>
      <c r="K250" s="26"/>
      <c r="L250" s="24" t="str">
        <f>IF(N250="","",IF(N250="T","Título de capítulo",IF(OR(ISERROR(F250),ISERROR(G250),ISERROR(H250)),"Error en fórmula: pegá como valores",IF(AND(B250="",$C$6=""),"Falta sector",IF(M250="","Falta capítulo",IF(TRIM(E250)="","Falta unidad",IF(NOT((COUNTIF(Listas!$A$2:$A$40,E250)+COUNTIF(Listas!$D$2:$D$60,E250)&gt;0)),"Unidad no reconocida",IF(AND(F250&lt;&gt;"",NOT(ISNUMBER(F250))),"Cantidad no es número",IF(N(F250)&lt;=0,"Falta cantidad",IF(OR(AND(G250&lt;&gt;"",NOT(ISNUMBER(G250))),AND(H250&lt;&gt;"",NOT(ISNUMBER(H250)))),"Precio no es número",IF(N(G250)+N(H250)&lt;=0,"Falta precio","✓ OK")))))))))))</f>
        <v/>
      </c>
      <c r="M250" t="str">
        <f>IF(N250&lt;&gt;"W","",IF(TRIM(C250)&lt;&gt;"",TRIM(C250),IFERROR(LOOKUP(2,1/(N$9:N250="T"),D$9:D250),"")))</f>
        <v/>
      </c>
      <c r="N250" t="str">
        <f t="shared" si="11"/>
        <v/>
      </c>
      <c r="O250" t="str">
        <f>IF(M250="","",IF(COUNTIF(M$9:M250,M250)=1,MAX(O$8:O249)+1,""))</f>
        <v/>
      </c>
    </row>
    <row r="251" spans="1:15" x14ac:dyDescent="0.75">
      <c r="A251" s="24" t="str">
        <f>IF(N251="W",COUNTIF(N$9:N251,"W"),"")</f>
        <v/>
      </c>
      <c r="B251" s="25"/>
      <c r="C251" s="25"/>
      <c r="D251" s="26"/>
      <c r="E251" s="25"/>
      <c r="F251" s="27"/>
      <c r="G251" s="28"/>
      <c r="H251" s="28"/>
      <c r="I251" s="29" t="str">
        <f t="shared" si="9"/>
        <v/>
      </c>
      <c r="J251" s="30" t="str">
        <f t="shared" si="10"/>
        <v/>
      </c>
      <c r="K251" s="26"/>
      <c r="L251" s="24" t="str">
        <f>IF(N251="","",IF(N251="T","Título de capítulo",IF(OR(ISERROR(F251),ISERROR(G251),ISERROR(H251)),"Error en fórmula: pegá como valores",IF(AND(B251="",$C$6=""),"Falta sector",IF(M251="","Falta capítulo",IF(TRIM(E251)="","Falta unidad",IF(NOT((COUNTIF(Listas!$A$2:$A$40,E251)+COUNTIF(Listas!$D$2:$D$60,E251)&gt;0)),"Unidad no reconocida",IF(AND(F251&lt;&gt;"",NOT(ISNUMBER(F251))),"Cantidad no es número",IF(N(F251)&lt;=0,"Falta cantidad",IF(OR(AND(G251&lt;&gt;"",NOT(ISNUMBER(G251))),AND(H251&lt;&gt;"",NOT(ISNUMBER(H251)))),"Precio no es número",IF(N(G251)+N(H251)&lt;=0,"Falta precio","✓ OK")))))))))))</f>
        <v/>
      </c>
      <c r="M251" t="str">
        <f>IF(N251&lt;&gt;"W","",IF(TRIM(C251)&lt;&gt;"",TRIM(C251),IFERROR(LOOKUP(2,1/(N$9:N251="T"),D$9:D251),"")))</f>
        <v/>
      </c>
      <c r="N251" t="str">
        <f t="shared" si="11"/>
        <v/>
      </c>
      <c r="O251" t="str">
        <f>IF(M251="","",IF(COUNTIF(M$9:M251,M251)=1,MAX(O$8:O250)+1,""))</f>
        <v/>
      </c>
    </row>
    <row r="252" spans="1:15" x14ac:dyDescent="0.75">
      <c r="A252" s="24" t="str">
        <f>IF(N252="W",COUNTIF(N$9:N252,"W"),"")</f>
        <v/>
      </c>
      <c r="B252" s="25"/>
      <c r="C252" s="25"/>
      <c r="D252" s="26"/>
      <c r="E252" s="25"/>
      <c r="F252" s="27"/>
      <c r="G252" s="28"/>
      <c r="H252" s="28"/>
      <c r="I252" s="29" t="str">
        <f t="shared" si="9"/>
        <v/>
      </c>
      <c r="J252" s="30" t="str">
        <f t="shared" si="10"/>
        <v/>
      </c>
      <c r="K252" s="26"/>
      <c r="L252" s="24" t="str">
        <f>IF(N252="","",IF(N252="T","Título de capítulo",IF(OR(ISERROR(F252),ISERROR(G252),ISERROR(H252)),"Error en fórmula: pegá como valores",IF(AND(B252="",$C$6=""),"Falta sector",IF(M252="","Falta capítulo",IF(TRIM(E252)="","Falta unidad",IF(NOT((COUNTIF(Listas!$A$2:$A$40,E252)+COUNTIF(Listas!$D$2:$D$60,E252)&gt;0)),"Unidad no reconocida",IF(AND(F252&lt;&gt;"",NOT(ISNUMBER(F252))),"Cantidad no es número",IF(N(F252)&lt;=0,"Falta cantidad",IF(OR(AND(G252&lt;&gt;"",NOT(ISNUMBER(G252))),AND(H252&lt;&gt;"",NOT(ISNUMBER(H252)))),"Precio no es número",IF(N(G252)+N(H252)&lt;=0,"Falta precio","✓ OK")))))))))))</f>
        <v/>
      </c>
      <c r="M252" t="str">
        <f>IF(N252&lt;&gt;"W","",IF(TRIM(C252)&lt;&gt;"",TRIM(C252),IFERROR(LOOKUP(2,1/(N$9:N252="T"),D$9:D252),"")))</f>
        <v/>
      </c>
      <c r="N252" t="str">
        <f t="shared" si="11"/>
        <v/>
      </c>
      <c r="O252" t="str">
        <f>IF(M252="","",IF(COUNTIF(M$9:M252,M252)=1,MAX(O$8:O251)+1,""))</f>
        <v/>
      </c>
    </row>
    <row r="253" spans="1:15" x14ac:dyDescent="0.75">
      <c r="A253" s="24" t="str">
        <f>IF(N253="W",COUNTIF(N$9:N253,"W"),"")</f>
        <v/>
      </c>
      <c r="B253" s="25"/>
      <c r="C253" s="25"/>
      <c r="D253" s="26"/>
      <c r="E253" s="25"/>
      <c r="F253" s="27"/>
      <c r="G253" s="28"/>
      <c r="H253" s="28"/>
      <c r="I253" s="29" t="str">
        <f t="shared" si="9"/>
        <v/>
      </c>
      <c r="J253" s="30" t="str">
        <f t="shared" si="10"/>
        <v/>
      </c>
      <c r="K253" s="26"/>
      <c r="L253" s="24" t="str">
        <f>IF(N253="","",IF(N253="T","Título de capítulo",IF(OR(ISERROR(F253),ISERROR(G253),ISERROR(H253)),"Error en fórmula: pegá como valores",IF(AND(B253="",$C$6=""),"Falta sector",IF(M253="","Falta capítulo",IF(TRIM(E253)="","Falta unidad",IF(NOT((COUNTIF(Listas!$A$2:$A$40,E253)+COUNTIF(Listas!$D$2:$D$60,E253)&gt;0)),"Unidad no reconocida",IF(AND(F253&lt;&gt;"",NOT(ISNUMBER(F253))),"Cantidad no es número",IF(N(F253)&lt;=0,"Falta cantidad",IF(OR(AND(G253&lt;&gt;"",NOT(ISNUMBER(G253))),AND(H253&lt;&gt;"",NOT(ISNUMBER(H253)))),"Precio no es número",IF(N(G253)+N(H253)&lt;=0,"Falta precio","✓ OK")))))))))))</f>
        <v/>
      </c>
      <c r="M253" t="str">
        <f>IF(N253&lt;&gt;"W","",IF(TRIM(C253)&lt;&gt;"",TRIM(C253),IFERROR(LOOKUP(2,1/(N$9:N253="T"),D$9:D253),"")))</f>
        <v/>
      </c>
      <c r="N253" t="str">
        <f t="shared" si="11"/>
        <v/>
      </c>
      <c r="O253" t="str">
        <f>IF(M253="","",IF(COUNTIF(M$9:M253,M253)=1,MAX(O$8:O252)+1,""))</f>
        <v/>
      </c>
    </row>
    <row r="254" spans="1:15" x14ac:dyDescent="0.75">
      <c r="A254" s="24" t="str">
        <f>IF(N254="W",COUNTIF(N$9:N254,"W"),"")</f>
        <v/>
      </c>
      <c r="B254" s="25"/>
      <c r="C254" s="25"/>
      <c r="D254" s="26"/>
      <c r="E254" s="25"/>
      <c r="F254" s="27"/>
      <c r="G254" s="28"/>
      <c r="H254" s="28"/>
      <c r="I254" s="29" t="str">
        <f t="shared" si="9"/>
        <v/>
      </c>
      <c r="J254" s="30" t="str">
        <f t="shared" si="10"/>
        <v/>
      </c>
      <c r="K254" s="26"/>
      <c r="L254" s="24" t="str">
        <f>IF(N254="","",IF(N254="T","Título de capítulo",IF(OR(ISERROR(F254),ISERROR(G254),ISERROR(H254)),"Error en fórmula: pegá como valores",IF(AND(B254="",$C$6=""),"Falta sector",IF(M254="","Falta capítulo",IF(TRIM(E254)="","Falta unidad",IF(NOT((COUNTIF(Listas!$A$2:$A$40,E254)+COUNTIF(Listas!$D$2:$D$60,E254)&gt;0)),"Unidad no reconocida",IF(AND(F254&lt;&gt;"",NOT(ISNUMBER(F254))),"Cantidad no es número",IF(N(F254)&lt;=0,"Falta cantidad",IF(OR(AND(G254&lt;&gt;"",NOT(ISNUMBER(G254))),AND(H254&lt;&gt;"",NOT(ISNUMBER(H254)))),"Precio no es número",IF(N(G254)+N(H254)&lt;=0,"Falta precio","✓ OK")))))))))))</f>
        <v/>
      </c>
      <c r="M254" t="str">
        <f>IF(N254&lt;&gt;"W","",IF(TRIM(C254)&lt;&gt;"",TRIM(C254),IFERROR(LOOKUP(2,1/(N$9:N254="T"),D$9:D254),"")))</f>
        <v/>
      </c>
      <c r="N254" t="str">
        <f t="shared" si="11"/>
        <v/>
      </c>
      <c r="O254" t="str">
        <f>IF(M254="","",IF(COUNTIF(M$9:M254,M254)=1,MAX(O$8:O253)+1,""))</f>
        <v/>
      </c>
    </row>
    <row r="255" spans="1:15" x14ac:dyDescent="0.75">
      <c r="A255" s="24" t="str">
        <f>IF(N255="W",COUNTIF(N$9:N255,"W"),"")</f>
        <v/>
      </c>
      <c r="B255" s="25"/>
      <c r="C255" s="25"/>
      <c r="D255" s="26"/>
      <c r="E255" s="25"/>
      <c r="F255" s="27"/>
      <c r="G255" s="28"/>
      <c r="H255" s="28"/>
      <c r="I255" s="29" t="str">
        <f t="shared" si="9"/>
        <v/>
      </c>
      <c r="J255" s="30" t="str">
        <f t="shared" si="10"/>
        <v/>
      </c>
      <c r="K255" s="26"/>
      <c r="L255" s="24" t="str">
        <f>IF(N255="","",IF(N255="T","Título de capítulo",IF(OR(ISERROR(F255),ISERROR(G255),ISERROR(H255)),"Error en fórmula: pegá como valores",IF(AND(B255="",$C$6=""),"Falta sector",IF(M255="","Falta capítulo",IF(TRIM(E255)="","Falta unidad",IF(NOT((COUNTIF(Listas!$A$2:$A$40,E255)+COUNTIF(Listas!$D$2:$D$60,E255)&gt;0)),"Unidad no reconocida",IF(AND(F255&lt;&gt;"",NOT(ISNUMBER(F255))),"Cantidad no es número",IF(N(F255)&lt;=0,"Falta cantidad",IF(OR(AND(G255&lt;&gt;"",NOT(ISNUMBER(G255))),AND(H255&lt;&gt;"",NOT(ISNUMBER(H255)))),"Precio no es número",IF(N(G255)+N(H255)&lt;=0,"Falta precio","✓ OK")))))))))))</f>
        <v/>
      </c>
      <c r="M255" t="str">
        <f>IF(N255&lt;&gt;"W","",IF(TRIM(C255)&lt;&gt;"",TRIM(C255),IFERROR(LOOKUP(2,1/(N$9:N255="T"),D$9:D255),"")))</f>
        <v/>
      </c>
      <c r="N255" t="str">
        <f t="shared" si="11"/>
        <v/>
      </c>
      <c r="O255" t="str">
        <f>IF(M255="","",IF(COUNTIF(M$9:M255,M255)=1,MAX(O$8:O254)+1,""))</f>
        <v/>
      </c>
    </row>
    <row r="256" spans="1:15" x14ac:dyDescent="0.75">
      <c r="A256" s="24" t="str">
        <f>IF(N256="W",COUNTIF(N$9:N256,"W"),"")</f>
        <v/>
      </c>
      <c r="B256" s="25"/>
      <c r="C256" s="25"/>
      <c r="D256" s="26"/>
      <c r="E256" s="25"/>
      <c r="F256" s="27"/>
      <c r="G256" s="28"/>
      <c r="H256" s="28"/>
      <c r="I256" s="29" t="str">
        <f t="shared" si="9"/>
        <v/>
      </c>
      <c r="J256" s="30" t="str">
        <f t="shared" si="10"/>
        <v/>
      </c>
      <c r="K256" s="26"/>
      <c r="L256" s="24" t="str">
        <f>IF(N256="","",IF(N256="T","Título de capítulo",IF(OR(ISERROR(F256),ISERROR(G256),ISERROR(H256)),"Error en fórmula: pegá como valores",IF(AND(B256="",$C$6=""),"Falta sector",IF(M256="","Falta capítulo",IF(TRIM(E256)="","Falta unidad",IF(NOT((COUNTIF(Listas!$A$2:$A$40,E256)+COUNTIF(Listas!$D$2:$D$60,E256)&gt;0)),"Unidad no reconocida",IF(AND(F256&lt;&gt;"",NOT(ISNUMBER(F256))),"Cantidad no es número",IF(N(F256)&lt;=0,"Falta cantidad",IF(OR(AND(G256&lt;&gt;"",NOT(ISNUMBER(G256))),AND(H256&lt;&gt;"",NOT(ISNUMBER(H256)))),"Precio no es número",IF(N(G256)+N(H256)&lt;=0,"Falta precio","✓ OK")))))))))))</f>
        <v/>
      </c>
      <c r="M256" t="str">
        <f>IF(N256&lt;&gt;"W","",IF(TRIM(C256)&lt;&gt;"",TRIM(C256),IFERROR(LOOKUP(2,1/(N$9:N256="T"),D$9:D256),"")))</f>
        <v/>
      </c>
      <c r="N256" t="str">
        <f t="shared" si="11"/>
        <v/>
      </c>
      <c r="O256" t="str">
        <f>IF(M256="","",IF(COUNTIF(M$9:M256,M256)=1,MAX(O$8:O255)+1,""))</f>
        <v/>
      </c>
    </row>
    <row r="257" spans="1:15" x14ac:dyDescent="0.75">
      <c r="A257" s="24" t="str">
        <f>IF(N257="W",COUNTIF(N$9:N257,"W"),"")</f>
        <v/>
      </c>
      <c r="B257" s="25"/>
      <c r="C257" s="25"/>
      <c r="D257" s="26"/>
      <c r="E257" s="25"/>
      <c r="F257" s="27"/>
      <c r="G257" s="28"/>
      <c r="H257" s="28"/>
      <c r="I257" s="29" t="str">
        <f t="shared" si="9"/>
        <v/>
      </c>
      <c r="J257" s="30" t="str">
        <f t="shared" si="10"/>
        <v/>
      </c>
      <c r="K257" s="26"/>
      <c r="L257" s="24" t="str">
        <f>IF(N257="","",IF(N257="T","Título de capítulo",IF(OR(ISERROR(F257),ISERROR(G257),ISERROR(H257)),"Error en fórmula: pegá como valores",IF(AND(B257="",$C$6=""),"Falta sector",IF(M257="","Falta capítulo",IF(TRIM(E257)="","Falta unidad",IF(NOT((COUNTIF(Listas!$A$2:$A$40,E257)+COUNTIF(Listas!$D$2:$D$60,E257)&gt;0)),"Unidad no reconocida",IF(AND(F257&lt;&gt;"",NOT(ISNUMBER(F257))),"Cantidad no es número",IF(N(F257)&lt;=0,"Falta cantidad",IF(OR(AND(G257&lt;&gt;"",NOT(ISNUMBER(G257))),AND(H257&lt;&gt;"",NOT(ISNUMBER(H257)))),"Precio no es número",IF(N(G257)+N(H257)&lt;=0,"Falta precio","✓ OK")))))))))))</f>
        <v/>
      </c>
      <c r="M257" t="str">
        <f>IF(N257&lt;&gt;"W","",IF(TRIM(C257)&lt;&gt;"",TRIM(C257),IFERROR(LOOKUP(2,1/(N$9:N257="T"),D$9:D257),"")))</f>
        <v/>
      </c>
      <c r="N257" t="str">
        <f t="shared" si="11"/>
        <v/>
      </c>
      <c r="O257" t="str">
        <f>IF(M257="","",IF(COUNTIF(M$9:M257,M257)=1,MAX(O$8:O256)+1,""))</f>
        <v/>
      </c>
    </row>
    <row r="258" spans="1:15" x14ac:dyDescent="0.75">
      <c r="A258" s="24" t="str">
        <f>IF(N258="W",COUNTIF(N$9:N258,"W"),"")</f>
        <v/>
      </c>
      <c r="B258" s="25"/>
      <c r="C258" s="25"/>
      <c r="D258" s="26"/>
      <c r="E258" s="25"/>
      <c r="F258" s="27"/>
      <c r="G258" s="28"/>
      <c r="H258" s="28"/>
      <c r="I258" s="29" t="str">
        <f t="shared" si="9"/>
        <v/>
      </c>
      <c r="J258" s="30" t="str">
        <f t="shared" si="10"/>
        <v/>
      </c>
      <c r="K258" s="26"/>
      <c r="L258" s="24" t="str">
        <f>IF(N258="","",IF(N258="T","Título de capítulo",IF(OR(ISERROR(F258),ISERROR(G258),ISERROR(H258)),"Error en fórmula: pegá como valores",IF(AND(B258="",$C$6=""),"Falta sector",IF(M258="","Falta capítulo",IF(TRIM(E258)="","Falta unidad",IF(NOT((COUNTIF(Listas!$A$2:$A$40,E258)+COUNTIF(Listas!$D$2:$D$60,E258)&gt;0)),"Unidad no reconocida",IF(AND(F258&lt;&gt;"",NOT(ISNUMBER(F258))),"Cantidad no es número",IF(N(F258)&lt;=0,"Falta cantidad",IF(OR(AND(G258&lt;&gt;"",NOT(ISNUMBER(G258))),AND(H258&lt;&gt;"",NOT(ISNUMBER(H258)))),"Precio no es número",IF(N(G258)+N(H258)&lt;=0,"Falta precio","✓ OK")))))))))))</f>
        <v/>
      </c>
      <c r="M258" t="str">
        <f>IF(N258&lt;&gt;"W","",IF(TRIM(C258)&lt;&gt;"",TRIM(C258),IFERROR(LOOKUP(2,1/(N$9:N258="T"),D$9:D258),"")))</f>
        <v/>
      </c>
      <c r="N258" t="str">
        <f t="shared" si="11"/>
        <v/>
      </c>
      <c r="O258" t="str">
        <f>IF(M258="","",IF(COUNTIF(M$9:M258,M258)=1,MAX(O$8:O257)+1,""))</f>
        <v/>
      </c>
    </row>
    <row r="259" spans="1:15" x14ac:dyDescent="0.75">
      <c r="A259" s="24" t="str">
        <f>IF(N259="W",COUNTIF(N$9:N259,"W"),"")</f>
        <v/>
      </c>
      <c r="B259" s="25"/>
      <c r="C259" s="25"/>
      <c r="D259" s="26"/>
      <c r="E259" s="25"/>
      <c r="F259" s="27"/>
      <c r="G259" s="28"/>
      <c r="H259" s="28"/>
      <c r="I259" s="29" t="str">
        <f t="shared" si="9"/>
        <v/>
      </c>
      <c r="J259" s="30" t="str">
        <f t="shared" si="10"/>
        <v/>
      </c>
      <c r="K259" s="26"/>
      <c r="L259" s="24" t="str">
        <f>IF(N259="","",IF(N259="T","Título de capítulo",IF(OR(ISERROR(F259),ISERROR(G259),ISERROR(H259)),"Error en fórmula: pegá como valores",IF(AND(B259="",$C$6=""),"Falta sector",IF(M259="","Falta capítulo",IF(TRIM(E259)="","Falta unidad",IF(NOT((COUNTIF(Listas!$A$2:$A$40,E259)+COUNTIF(Listas!$D$2:$D$60,E259)&gt;0)),"Unidad no reconocida",IF(AND(F259&lt;&gt;"",NOT(ISNUMBER(F259))),"Cantidad no es número",IF(N(F259)&lt;=0,"Falta cantidad",IF(OR(AND(G259&lt;&gt;"",NOT(ISNUMBER(G259))),AND(H259&lt;&gt;"",NOT(ISNUMBER(H259)))),"Precio no es número",IF(N(G259)+N(H259)&lt;=0,"Falta precio","✓ OK")))))))))))</f>
        <v/>
      </c>
      <c r="M259" t="str">
        <f>IF(N259&lt;&gt;"W","",IF(TRIM(C259)&lt;&gt;"",TRIM(C259),IFERROR(LOOKUP(2,1/(N$9:N259="T"),D$9:D259),"")))</f>
        <v/>
      </c>
      <c r="N259" t="str">
        <f t="shared" si="11"/>
        <v/>
      </c>
      <c r="O259" t="str">
        <f>IF(M259="","",IF(COUNTIF(M$9:M259,M259)=1,MAX(O$8:O258)+1,""))</f>
        <v/>
      </c>
    </row>
    <row r="260" spans="1:15" x14ac:dyDescent="0.75">
      <c r="A260" s="24" t="str">
        <f>IF(N260="W",COUNTIF(N$9:N260,"W"),"")</f>
        <v/>
      </c>
      <c r="B260" s="25"/>
      <c r="C260" s="25"/>
      <c r="D260" s="26"/>
      <c r="E260" s="25"/>
      <c r="F260" s="27"/>
      <c r="G260" s="28"/>
      <c r="H260" s="28"/>
      <c r="I260" s="29" t="str">
        <f t="shared" si="9"/>
        <v/>
      </c>
      <c r="J260" s="30" t="str">
        <f t="shared" si="10"/>
        <v/>
      </c>
      <c r="K260" s="26"/>
      <c r="L260" s="24" t="str">
        <f>IF(N260="","",IF(N260="T","Título de capítulo",IF(OR(ISERROR(F260),ISERROR(G260),ISERROR(H260)),"Error en fórmula: pegá como valores",IF(AND(B260="",$C$6=""),"Falta sector",IF(M260="","Falta capítulo",IF(TRIM(E260)="","Falta unidad",IF(NOT((COUNTIF(Listas!$A$2:$A$40,E260)+COUNTIF(Listas!$D$2:$D$60,E260)&gt;0)),"Unidad no reconocida",IF(AND(F260&lt;&gt;"",NOT(ISNUMBER(F260))),"Cantidad no es número",IF(N(F260)&lt;=0,"Falta cantidad",IF(OR(AND(G260&lt;&gt;"",NOT(ISNUMBER(G260))),AND(H260&lt;&gt;"",NOT(ISNUMBER(H260)))),"Precio no es número",IF(N(G260)+N(H260)&lt;=0,"Falta precio","✓ OK")))))))))))</f>
        <v/>
      </c>
      <c r="M260" t="str">
        <f>IF(N260&lt;&gt;"W","",IF(TRIM(C260)&lt;&gt;"",TRIM(C260),IFERROR(LOOKUP(2,1/(N$9:N260="T"),D$9:D260),"")))</f>
        <v/>
      </c>
      <c r="N260" t="str">
        <f t="shared" si="11"/>
        <v/>
      </c>
      <c r="O260" t="str">
        <f>IF(M260="","",IF(COUNTIF(M$9:M260,M260)=1,MAX(O$8:O259)+1,""))</f>
        <v/>
      </c>
    </row>
    <row r="261" spans="1:15" x14ac:dyDescent="0.75">
      <c r="A261" s="24" t="str">
        <f>IF(N261="W",COUNTIF(N$9:N261,"W"),"")</f>
        <v/>
      </c>
      <c r="B261" s="25"/>
      <c r="C261" s="25"/>
      <c r="D261" s="26"/>
      <c r="E261" s="25"/>
      <c r="F261" s="27"/>
      <c r="G261" s="28"/>
      <c r="H261" s="28"/>
      <c r="I261" s="29" t="str">
        <f t="shared" si="9"/>
        <v/>
      </c>
      <c r="J261" s="30" t="str">
        <f t="shared" si="10"/>
        <v/>
      </c>
      <c r="K261" s="26"/>
      <c r="L261" s="24" t="str">
        <f>IF(N261="","",IF(N261="T","Título de capítulo",IF(OR(ISERROR(F261),ISERROR(G261),ISERROR(H261)),"Error en fórmula: pegá como valores",IF(AND(B261="",$C$6=""),"Falta sector",IF(M261="","Falta capítulo",IF(TRIM(E261)="","Falta unidad",IF(NOT((COUNTIF(Listas!$A$2:$A$40,E261)+COUNTIF(Listas!$D$2:$D$60,E261)&gt;0)),"Unidad no reconocida",IF(AND(F261&lt;&gt;"",NOT(ISNUMBER(F261))),"Cantidad no es número",IF(N(F261)&lt;=0,"Falta cantidad",IF(OR(AND(G261&lt;&gt;"",NOT(ISNUMBER(G261))),AND(H261&lt;&gt;"",NOT(ISNUMBER(H261)))),"Precio no es número",IF(N(G261)+N(H261)&lt;=0,"Falta precio","✓ OK")))))))))))</f>
        <v/>
      </c>
      <c r="M261" t="str">
        <f>IF(N261&lt;&gt;"W","",IF(TRIM(C261)&lt;&gt;"",TRIM(C261),IFERROR(LOOKUP(2,1/(N$9:N261="T"),D$9:D261),"")))</f>
        <v/>
      </c>
      <c r="N261" t="str">
        <f t="shared" si="11"/>
        <v/>
      </c>
      <c r="O261" t="str">
        <f>IF(M261="","",IF(COUNTIF(M$9:M261,M261)=1,MAX(O$8:O260)+1,""))</f>
        <v/>
      </c>
    </row>
    <row r="262" spans="1:15" x14ac:dyDescent="0.75">
      <c r="A262" s="24" t="str">
        <f>IF(N262="W",COUNTIF(N$9:N262,"W"),"")</f>
        <v/>
      </c>
      <c r="B262" s="25"/>
      <c r="C262" s="25"/>
      <c r="D262" s="26"/>
      <c r="E262" s="25"/>
      <c r="F262" s="27"/>
      <c r="G262" s="28"/>
      <c r="H262" s="28"/>
      <c r="I262" s="29" t="str">
        <f t="shared" si="9"/>
        <v/>
      </c>
      <c r="J262" s="30" t="str">
        <f t="shared" si="10"/>
        <v/>
      </c>
      <c r="K262" s="26"/>
      <c r="L262" s="24" t="str">
        <f>IF(N262="","",IF(N262="T","Título de capítulo",IF(OR(ISERROR(F262),ISERROR(G262),ISERROR(H262)),"Error en fórmula: pegá como valores",IF(AND(B262="",$C$6=""),"Falta sector",IF(M262="","Falta capítulo",IF(TRIM(E262)="","Falta unidad",IF(NOT((COUNTIF(Listas!$A$2:$A$40,E262)+COUNTIF(Listas!$D$2:$D$60,E262)&gt;0)),"Unidad no reconocida",IF(AND(F262&lt;&gt;"",NOT(ISNUMBER(F262))),"Cantidad no es número",IF(N(F262)&lt;=0,"Falta cantidad",IF(OR(AND(G262&lt;&gt;"",NOT(ISNUMBER(G262))),AND(H262&lt;&gt;"",NOT(ISNUMBER(H262)))),"Precio no es número",IF(N(G262)+N(H262)&lt;=0,"Falta precio","✓ OK")))))))))))</f>
        <v/>
      </c>
      <c r="M262" t="str">
        <f>IF(N262&lt;&gt;"W","",IF(TRIM(C262)&lt;&gt;"",TRIM(C262),IFERROR(LOOKUP(2,1/(N$9:N262="T"),D$9:D262),"")))</f>
        <v/>
      </c>
      <c r="N262" t="str">
        <f t="shared" si="11"/>
        <v/>
      </c>
      <c r="O262" t="str">
        <f>IF(M262="","",IF(COUNTIF(M$9:M262,M262)=1,MAX(O$8:O261)+1,""))</f>
        <v/>
      </c>
    </row>
    <row r="263" spans="1:15" x14ac:dyDescent="0.75">
      <c r="A263" s="24" t="str">
        <f>IF(N263="W",COUNTIF(N$9:N263,"W"),"")</f>
        <v/>
      </c>
      <c r="B263" s="25"/>
      <c r="C263" s="25"/>
      <c r="D263" s="26"/>
      <c r="E263" s="25"/>
      <c r="F263" s="27"/>
      <c r="G263" s="28"/>
      <c r="H263" s="28"/>
      <c r="I263" s="29" t="str">
        <f t="shared" si="9"/>
        <v/>
      </c>
      <c r="J263" s="30" t="str">
        <f t="shared" si="10"/>
        <v/>
      </c>
      <c r="K263" s="26"/>
      <c r="L263" s="24" t="str">
        <f>IF(N263="","",IF(N263="T","Título de capítulo",IF(OR(ISERROR(F263),ISERROR(G263),ISERROR(H263)),"Error en fórmula: pegá como valores",IF(AND(B263="",$C$6=""),"Falta sector",IF(M263="","Falta capítulo",IF(TRIM(E263)="","Falta unidad",IF(NOT((COUNTIF(Listas!$A$2:$A$40,E263)+COUNTIF(Listas!$D$2:$D$60,E263)&gt;0)),"Unidad no reconocida",IF(AND(F263&lt;&gt;"",NOT(ISNUMBER(F263))),"Cantidad no es número",IF(N(F263)&lt;=0,"Falta cantidad",IF(OR(AND(G263&lt;&gt;"",NOT(ISNUMBER(G263))),AND(H263&lt;&gt;"",NOT(ISNUMBER(H263)))),"Precio no es número",IF(N(G263)+N(H263)&lt;=0,"Falta precio","✓ OK")))))))))))</f>
        <v/>
      </c>
      <c r="M263" t="str">
        <f>IF(N263&lt;&gt;"W","",IF(TRIM(C263)&lt;&gt;"",TRIM(C263),IFERROR(LOOKUP(2,1/(N$9:N263="T"),D$9:D263),"")))</f>
        <v/>
      </c>
      <c r="N263" t="str">
        <f t="shared" si="11"/>
        <v/>
      </c>
      <c r="O263" t="str">
        <f>IF(M263="","",IF(COUNTIF(M$9:M263,M263)=1,MAX(O$8:O262)+1,""))</f>
        <v/>
      </c>
    </row>
    <row r="264" spans="1:15" x14ac:dyDescent="0.75">
      <c r="A264" s="24" t="str">
        <f>IF(N264="W",COUNTIF(N$9:N264,"W"),"")</f>
        <v/>
      </c>
      <c r="B264" s="25"/>
      <c r="C264" s="25"/>
      <c r="D264" s="26"/>
      <c r="E264" s="25"/>
      <c r="F264" s="27"/>
      <c r="G264" s="28"/>
      <c r="H264" s="28"/>
      <c r="I264" s="29" t="str">
        <f t="shared" si="9"/>
        <v/>
      </c>
      <c r="J264" s="30" t="str">
        <f t="shared" si="10"/>
        <v/>
      </c>
      <c r="K264" s="26"/>
      <c r="L264" s="24" t="str">
        <f>IF(N264="","",IF(N264="T","Título de capítulo",IF(OR(ISERROR(F264),ISERROR(G264),ISERROR(H264)),"Error en fórmula: pegá como valores",IF(AND(B264="",$C$6=""),"Falta sector",IF(M264="","Falta capítulo",IF(TRIM(E264)="","Falta unidad",IF(NOT((COUNTIF(Listas!$A$2:$A$40,E264)+COUNTIF(Listas!$D$2:$D$60,E264)&gt;0)),"Unidad no reconocida",IF(AND(F264&lt;&gt;"",NOT(ISNUMBER(F264))),"Cantidad no es número",IF(N(F264)&lt;=0,"Falta cantidad",IF(OR(AND(G264&lt;&gt;"",NOT(ISNUMBER(G264))),AND(H264&lt;&gt;"",NOT(ISNUMBER(H264)))),"Precio no es número",IF(N(G264)+N(H264)&lt;=0,"Falta precio","✓ OK")))))))))))</f>
        <v/>
      </c>
      <c r="M264" t="str">
        <f>IF(N264&lt;&gt;"W","",IF(TRIM(C264)&lt;&gt;"",TRIM(C264),IFERROR(LOOKUP(2,1/(N$9:N264="T"),D$9:D264),"")))</f>
        <v/>
      </c>
      <c r="N264" t="str">
        <f t="shared" si="11"/>
        <v/>
      </c>
      <c r="O264" t="str">
        <f>IF(M264="","",IF(COUNTIF(M$9:M264,M264)=1,MAX(O$8:O263)+1,""))</f>
        <v/>
      </c>
    </row>
    <row r="265" spans="1:15" x14ac:dyDescent="0.75">
      <c r="A265" s="24" t="str">
        <f>IF(N265="W",COUNTIF(N$9:N265,"W"),"")</f>
        <v/>
      </c>
      <c r="B265" s="25"/>
      <c r="C265" s="25"/>
      <c r="D265" s="26"/>
      <c r="E265" s="25"/>
      <c r="F265" s="27"/>
      <c r="G265" s="28"/>
      <c r="H265" s="28"/>
      <c r="I265" s="29" t="str">
        <f t="shared" ref="I265:I328" si="12">IF(N265="W",IFERROR(N(G265)+N(H265),0),"")</f>
        <v/>
      </c>
      <c r="J265" s="30" t="str">
        <f t="shared" ref="J265:J328" si="13">IF(N265="W",IFERROR(N(F265)*I265,0),"")</f>
        <v/>
      </c>
      <c r="K265" s="26"/>
      <c r="L265" s="24" t="str">
        <f>IF(N265="","",IF(N265="T","Título de capítulo",IF(OR(ISERROR(F265),ISERROR(G265),ISERROR(H265)),"Error en fórmula: pegá como valores",IF(AND(B265="",$C$6=""),"Falta sector",IF(M265="","Falta capítulo",IF(TRIM(E265)="","Falta unidad",IF(NOT((COUNTIF(Listas!$A$2:$A$40,E265)+COUNTIF(Listas!$D$2:$D$60,E265)&gt;0)),"Unidad no reconocida",IF(AND(F265&lt;&gt;"",NOT(ISNUMBER(F265))),"Cantidad no es número",IF(N(F265)&lt;=0,"Falta cantidad",IF(OR(AND(G265&lt;&gt;"",NOT(ISNUMBER(G265))),AND(H265&lt;&gt;"",NOT(ISNUMBER(H265)))),"Precio no es número",IF(N(G265)+N(H265)&lt;=0,"Falta precio","✓ OK")))))))))))</f>
        <v/>
      </c>
      <c r="M265" t="str">
        <f>IF(N265&lt;&gt;"W","",IF(TRIM(C265)&lt;&gt;"",TRIM(C265),IFERROR(LOOKUP(2,1/(N$9:N265="T"),D$9:D265),"")))</f>
        <v/>
      </c>
      <c r="N265" t="str">
        <f t="shared" ref="N265:N328" si="14">IF(TRIM(D265)="","",IF(AND(TRIM(E265)="",IFERROR(N(F265),1)=0,IFERROR(N(G265)+N(H265),1)=0),"T","W"))</f>
        <v/>
      </c>
      <c r="O265" t="str">
        <f>IF(M265="","",IF(COUNTIF(M$9:M265,M265)=1,MAX(O$8:O264)+1,""))</f>
        <v/>
      </c>
    </row>
    <row r="266" spans="1:15" x14ac:dyDescent="0.75">
      <c r="A266" s="24" t="str">
        <f>IF(N266="W",COUNTIF(N$9:N266,"W"),"")</f>
        <v/>
      </c>
      <c r="B266" s="25"/>
      <c r="C266" s="25"/>
      <c r="D266" s="26"/>
      <c r="E266" s="25"/>
      <c r="F266" s="27"/>
      <c r="G266" s="28"/>
      <c r="H266" s="28"/>
      <c r="I266" s="29" t="str">
        <f t="shared" si="12"/>
        <v/>
      </c>
      <c r="J266" s="30" t="str">
        <f t="shared" si="13"/>
        <v/>
      </c>
      <c r="K266" s="26"/>
      <c r="L266" s="24" t="str">
        <f>IF(N266="","",IF(N266="T","Título de capítulo",IF(OR(ISERROR(F266),ISERROR(G266),ISERROR(H266)),"Error en fórmula: pegá como valores",IF(AND(B266="",$C$6=""),"Falta sector",IF(M266="","Falta capítulo",IF(TRIM(E266)="","Falta unidad",IF(NOT((COUNTIF(Listas!$A$2:$A$40,E266)+COUNTIF(Listas!$D$2:$D$60,E266)&gt;0)),"Unidad no reconocida",IF(AND(F266&lt;&gt;"",NOT(ISNUMBER(F266))),"Cantidad no es número",IF(N(F266)&lt;=0,"Falta cantidad",IF(OR(AND(G266&lt;&gt;"",NOT(ISNUMBER(G266))),AND(H266&lt;&gt;"",NOT(ISNUMBER(H266)))),"Precio no es número",IF(N(G266)+N(H266)&lt;=0,"Falta precio","✓ OK")))))))))))</f>
        <v/>
      </c>
      <c r="M266" t="str">
        <f>IF(N266&lt;&gt;"W","",IF(TRIM(C266)&lt;&gt;"",TRIM(C266),IFERROR(LOOKUP(2,1/(N$9:N266="T"),D$9:D266),"")))</f>
        <v/>
      </c>
      <c r="N266" t="str">
        <f t="shared" si="14"/>
        <v/>
      </c>
      <c r="O266" t="str">
        <f>IF(M266="","",IF(COUNTIF(M$9:M266,M266)=1,MAX(O$8:O265)+1,""))</f>
        <v/>
      </c>
    </row>
    <row r="267" spans="1:15" x14ac:dyDescent="0.75">
      <c r="A267" s="24" t="str">
        <f>IF(N267="W",COUNTIF(N$9:N267,"W"),"")</f>
        <v/>
      </c>
      <c r="B267" s="25"/>
      <c r="C267" s="25"/>
      <c r="D267" s="26"/>
      <c r="E267" s="25"/>
      <c r="F267" s="27"/>
      <c r="G267" s="28"/>
      <c r="H267" s="28"/>
      <c r="I267" s="29" t="str">
        <f t="shared" si="12"/>
        <v/>
      </c>
      <c r="J267" s="30" t="str">
        <f t="shared" si="13"/>
        <v/>
      </c>
      <c r="K267" s="26"/>
      <c r="L267" s="24" t="str">
        <f>IF(N267="","",IF(N267="T","Título de capítulo",IF(OR(ISERROR(F267),ISERROR(G267),ISERROR(H267)),"Error en fórmula: pegá como valores",IF(AND(B267="",$C$6=""),"Falta sector",IF(M267="","Falta capítulo",IF(TRIM(E267)="","Falta unidad",IF(NOT((COUNTIF(Listas!$A$2:$A$40,E267)+COUNTIF(Listas!$D$2:$D$60,E267)&gt;0)),"Unidad no reconocida",IF(AND(F267&lt;&gt;"",NOT(ISNUMBER(F267))),"Cantidad no es número",IF(N(F267)&lt;=0,"Falta cantidad",IF(OR(AND(G267&lt;&gt;"",NOT(ISNUMBER(G267))),AND(H267&lt;&gt;"",NOT(ISNUMBER(H267)))),"Precio no es número",IF(N(G267)+N(H267)&lt;=0,"Falta precio","✓ OK")))))))))))</f>
        <v/>
      </c>
      <c r="M267" t="str">
        <f>IF(N267&lt;&gt;"W","",IF(TRIM(C267)&lt;&gt;"",TRIM(C267),IFERROR(LOOKUP(2,1/(N$9:N267="T"),D$9:D267),"")))</f>
        <v/>
      </c>
      <c r="N267" t="str">
        <f t="shared" si="14"/>
        <v/>
      </c>
      <c r="O267" t="str">
        <f>IF(M267="","",IF(COUNTIF(M$9:M267,M267)=1,MAX(O$8:O266)+1,""))</f>
        <v/>
      </c>
    </row>
    <row r="268" spans="1:15" x14ac:dyDescent="0.75">
      <c r="A268" s="24" t="str">
        <f>IF(N268="W",COUNTIF(N$9:N268,"W"),"")</f>
        <v/>
      </c>
      <c r="B268" s="25"/>
      <c r="C268" s="25"/>
      <c r="D268" s="26"/>
      <c r="E268" s="25"/>
      <c r="F268" s="27"/>
      <c r="G268" s="28"/>
      <c r="H268" s="28"/>
      <c r="I268" s="29" t="str">
        <f t="shared" si="12"/>
        <v/>
      </c>
      <c r="J268" s="30" t="str">
        <f t="shared" si="13"/>
        <v/>
      </c>
      <c r="K268" s="26"/>
      <c r="L268" s="24" t="str">
        <f>IF(N268="","",IF(N268="T","Título de capítulo",IF(OR(ISERROR(F268),ISERROR(G268),ISERROR(H268)),"Error en fórmula: pegá como valores",IF(AND(B268="",$C$6=""),"Falta sector",IF(M268="","Falta capítulo",IF(TRIM(E268)="","Falta unidad",IF(NOT((COUNTIF(Listas!$A$2:$A$40,E268)+COUNTIF(Listas!$D$2:$D$60,E268)&gt;0)),"Unidad no reconocida",IF(AND(F268&lt;&gt;"",NOT(ISNUMBER(F268))),"Cantidad no es número",IF(N(F268)&lt;=0,"Falta cantidad",IF(OR(AND(G268&lt;&gt;"",NOT(ISNUMBER(G268))),AND(H268&lt;&gt;"",NOT(ISNUMBER(H268)))),"Precio no es número",IF(N(G268)+N(H268)&lt;=0,"Falta precio","✓ OK")))))))))))</f>
        <v/>
      </c>
      <c r="M268" t="str">
        <f>IF(N268&lt;&gt;"W","",IF(TRIM(C268)&lt;&gt;"",TRIM(C268),IFERROR(LOOKUP(2,1/(N$9:N268="T"),D$9:D268),"")))</f>
        <v/>
      </c>
      <c r="N268" t="str">
        <f t="shared" si="14"/>
        <v/>
      </c>
      <c r="O268" t="str">
        <f>IF(M268="","",IF(COUNTIF(M$9:M268,M268)=1,MAX(O$8:O267)+1,""))</f>
        <v/>
      </c>
    </row>
    <row r="269" spans="1:15" x14ac:dyDescent="0.75">
      <c r="A269" s="24" t="str">
        <f>IF(N269="W",COUNTIF(N$9:N269,"W"),"")</f>
        <v/>
      </c>
      <c r="B269" s="25"/>
      <c r="C269" s="25"/>
      <c r="D269" s="26"/>
      <c r="E269" s="25"/>
      <c r="F269" s="27"/>
      <c r="G269" s="28"/>
      <c r="H269" s="28"/>
      <c r="I269" s="29" t="str">
        <f t="shared" si="12"/>
        <v/>
      </c>
      <c r="J269" s="30" t="str">
        <f t="shared" si="13"/>
        <v/>
      </c>
      <c r="K269" s="26"/>
      <c r="L269" s="24" t="str">
        <f>IF(N269="","",IF(N269="T","Título de capítulo",IF(OR(ISERROR(F269),ISERROR(G269),ISERROR(H269)),"Error en fórmula: pegá como valores",IF(AND(B269="",$C$6=""),"Falta sector",IF(M269="","Falta capítulo",IF(TRIM(E269)="","Falta unidad",IF(NOT((COUNTIF(Listas!$A$2:$A$40,E269)+COUNTIF(Listas!$D$2:$D$60,E269)&gt;0)),"Unidad no reconocida",IF(AND(F269&lt;&gt;"",NOT(ISNUMBER(F269))),"Cantidad no es número",IF(N(F269)&lt;=0,"Falta cantidad",IF(OR(AND(G269&lt;&gt;"",NOT(ISNUMBER(G269))),AND(H269&lt;&gt;"",NOT(ISNUMBER(H269)))),"Precio no es número",IF(N(G269)+N(H269)&lt;=0,"Falta precio","✓ OK")))))))))))</f>
        <v/>
      </c>
      <c r="M269" t="str">
        <f>IF(N269&lt;&gt;"W","",IF(TRIM(C269)&lt;&gt;"",TRIM(C269),IFERROR(LOOKUP(2,1/(N$9:N269="T"),D$9:D269),"")))</f>
        <v/>
      </c>
      <c r="N269" t="str">
        <f t="shared" si="14"/>
        <v/>
      </c>
      <c r="O269" t="str">
        <f>IF(M269="","",IF(COUNTIF(M$9:M269,M269)=1,MAX(O$8:O268)+1,""))</f>
        <v/>
      </c>
    </row>
    <row r="270" spans="1:15" x14ac:dyDescent="0.75">
      <c r="A270" s="24" t="str">
        <f>IF(N270="W",COUNTIF(N$9:N270,"W"),"")</f>
        <v/>
      </c>
      <c r="B270" s="25"/>
      <c r="C270" s="25"/>
      <c r="D270" s="26"/>
      <c r="E270" s="25"/>
      <c r="F270" s="27"/>
      <c r="G270" s="28"/>
      <c r="H270" s="28"/>
      <c r="I270" s="29" t="str">
        <f t="shared" si="12"/>
        <v/>
      </c>
      <c r="J270" s="30" t="str">
        <f t="shared" si="13"/>
        <v/>
      </c>
      <c r="K270" s="26"/>
      <c r="L270" s="24" t="str">
        <f>IF(N270="","",IF(N270="T","Título de capítulo",IF(OR(ISERROR(F270),ISERROR(G270),ISERROR(H270)),"Error en fórmula: pegá como valores",IF(AND(B270="",$C$6=""),"Falta sector",IF(M270="","Falta capítulo",IF(TRIM(E270)="","Falta unidad",IF(NOT((COUNTIF(Listas!$A$2:$A$40,E270)+COUNTIF(Listas!$D$2:$D$60,E270)&gt;0)),"Unidad no reconocida",IF(AND(F270&lt;&gt;"",NOT(ISNUMBER(F270))),"Cantidad no es número",IF(N(F270)&lt;=0,"Falta cantidad",IF(OR(AND(G270&lt;&gt;"",NOT(ISNUMBER(G270))),AND(H270&lt;&gt;"",NOT(ISNUMBER(H270)))),"Precio no es número",IF(N(G270)+N(H270)&lt;=0,"Falta precio","✓ OK")))))))))))</f>
        <v/>
      </c>
      <c r="M270" t="str">
        <f>IF(N270&lt;&gt;"W","",IF(TRIM(C270)&lt;&gt;"",TRIM(C270),IFERROR(LOOKUP(2,1/(N$9:N270="T"),D$9:D270),"")))</f>
        <v/>
      </c>
      <c r="N270" t="str">
        <f t="shared" si="14"/>
        <v/>
      </c>
      <c r="O270" t="str">
        <f>IF(M270="","",IF(COUNTIF(M$9:M270,M270)=1,MAX(O$8:O269)+1,""))</f>
        <v/>
      </c>
    </row>
    <row r="271" spans="1:15" x14ac:dyDescent="0.75">
      <c r="A271" s="24" t="str">
        <f>IF(N271="W",COUNTIF(N$9:N271,"W"),"")</f>
        <v/>
      </c>
      <c r="B271" s="25"/>
      <c r="C271" s="25"/>
      <c r="D271" s="26"/>
      <c r="E271" s="25"/>
      <c r="F271" s="27"/>
      <c r="G271" s="28"/>
      <c r="H271" s="28"/>
      <c r="I271" s="29" t="str">
        <f t="shared" si="12"/>
        <v/>
      </c>
      <c r="J271" s="30" t="str">
        <f t="shared" si="13"/>
        <v/>
      </c>
      <c r="K271" s="26"/>
      <c r="L271" s="24" t="str">
        <f>IF(N271="","",IF(N271="T","Título de capítulo",IF(OR(ISERROR(F271),ISERROR(G271),ISERROR(H271)),"Error en fórmula: pegá como valores",IF(AND(B271="",$C$6=""),"Falta sector",IF(M271="","Falta capítulo",IF(TRIM(E271)="","Falta unidad",IF(NOT((COUNTIF(Listas!$A$2:$A$40,E271)+COUNTIF(Listas!$D$2:$D$60,E271)&gt;0)),"Unidad no reconocida",IF(AND(F271&lt;&gt;"",NOT(ISNUMBER(F271))),"Cantidad no es número",IF(N(F271)&lt;=0,"Falta cantidad",IF(OR(AND(G271&lt;&gt;"",NOT(ISNUMBER(G271))),AND(H271&lt;&gt;"",NOT(ISNUMBER(H271)))),"Precio no es número",IF(N(G271)+N(H271)&lt;=0,"Falta precio","✓ OK")))))))))))</f>
        <v/>
      </c>
      <c r="M271" t="str">
        <f>IF(N271&lt;&gt;"W","",IF(TRIM(C271)&lt;&gt;"",TRIM(C271),IFERROR(LOOKUP(2,1/(N$9:N271="T"),D$9:D271),"")))</f>
        <v/>
      </c>
      <c r="N271" t="str">
        <f t="shared" si="14"/>
        <v/>
      </c>
      <c r="O271" t="str">
        <f>IF(M271="","",IF(COUNTIF(M$9:M271,M271)=1,MAX(O$8:O270)+1,""))</f>
        <v/>
      </c>
    </row>
    <row r="272" spans="1:15" x14ac:dyDescent="0.75">
      <c r="A272" s="24" t="str">
        <f>IF(N272="W",COUNTIF(N$9:N272,"W"),"")</f>
        <v/>
      </c>
      <c r="B272" s="25"/>
      <c r="C272" s="25"/>
      <c r="D272" s="26"/>
      <c r="E272" s="25"/>
      <c r="F272" s="27"/>
      <c r="G272" s="28"/>
      <c r="H272" s="28"/>
      <c r="I272" s="29" t="str">
        <f t="shared" si="12"/>
        <v/>
      </c>
      <c r="J272" s="30" t="str">
        <f t="shared" si="13"/>
        <v/>
      </c>
      <c r="K272" s="26"/>
      <c r="L272" s="24" t="str">
        <f>IF(N272="","",IF(N272="T","Título de capítulo",IF(OR(ISERROR(F272),ISERROR(G272),ISERROR(H272)),"Error en fórmula: pegá como valores",IF(AND(B272="",$C$6=""),"Falta sector",IF(M272="","Falta capítulo",IF(TRIM(E272)="","Falta unidad",IF(NOT((COUNTIF(Listas!$A$2:$A$40,E272)+COUNTIF(Listas!$D$2:$D$60,E272)&gt;0)),"Unidad no reconocida",IF(AND(F272&lt;&gt;"",NOT(ISNUMBER(F272))),"Cantidad no es número",IF(N(F272)&lt;=0,"Falta cantidad",IF(OR(AND(G272&lt;&gt;"",NOT(ISNUMBER(G272))),AND(H272&lt;&gt;"",NOT(ISNUMBER(H272)))),"Precio no es número",IF(N(G272)+N(H272)&lt;=0,"Falta precio","✓ OK")))))))))))</f>
        <v/>
      </c>
      <c r="M272" t="str">
        <f>IF(N272&lt;&gt;"W","",IF(TRIM(C272)&lt;&gt;"",TRIM(C272),IFERROR(LOOKUP(2,1/(N$9:N272="T"),D$9:D272),"")))</f>
        <v/>
      </c>
      <c r="N272" t="str">
        <f t="shared" si="14"/>
        <v/>
      </c>
      <c r="O272" t="str">
        <f>IF(M272="","",IF(COUNTIF(M$9:M272,M272)=1,MAX(O$8:O271)+1,""))</f>
        <v/>
      </c>
    </row>
    <row r="273" spans="1:15" x14ac:dyDescent="0.75">
      <c r="A273" s="24" t="str">
        <f>IF(N273="W",COUNTIF(N$9:N273,"W"),"")</f>
        <v/>
      </c>
      <c r="B273" s="25"/>
      <c r="C273" s="25"/>
      <c r="D273" s="26"/>
      <c r="E273" s="25"/>
      <c r="F273" s="27"/>
      <c r="G273" s="28"/>
      <c r="H273" s="28"/>
      <c r="I273" s="29" t="str">
        <f t="shared" si="12"/>
        <v/>
      </c>
      <c r="J273" s="30" t="str">
        <f t="shared" si="13"/>
        <v/>
      </c>
      <c r="K273" s="26"/>
      <c r="L273" s="24" t="str">
        <f>IF(N273="","",IF(N273="T","Título de capítulo",IF(OR(ISERROR(F273),ISERROR(G273),ISERROR(H273)),"Error en fórmula: pegá como valores",IF(AND(B273="",$C$6=""),"Falta sector",IF(M273="","Falta capítulo",IF(TRIM(E273)="","Falta unidad",IF(NOT((COUNTIF(Listas!$A$2:$A$40,E273)+COUNTIF(Listas!$D$2:$D$60,E273)&gt;0)),"Unidad no reconocida",IF(AND(F273&lt;&gt;"",NOT(ISNUMBER(F273))),"Cantidad no es número",IF(N(F273)&lt;=0,"Falta cantidad",IF(OR(AND(G273&lt;&gt;"",NOT(ISNUMBER(G273))),AND(H273&lt;&gt;"",NOT(ISNUMBER(H273)))),"Precio no es número",IF(N(G273)+N(H273)&lt;=0,"Falta precio","✓ OK")))))))))))</f>
        <v/>
      </c>
      <c r="M273" t="str">
        <f>IF(N273&lt;&gt;"W","",IF(TRIM(C273)&lt;&gt;"",TRIM(C273),IFERROR(LOOKUP(2,1/(N$9:N273="T"),D$9:D273),"")))</f>
        <v/>
      </c>
      <c r="N273" t="str">
        <f t="shared" si="14"/>
        <v/>
      </c>
      <c r="O273" t="str">
        <f>IF(M273="","",IF(COUNTIF(M$9:M273,M273)=1,MAX(O$8:O272)+1,""))</f>
        <v/>
      </c>
    </row>
    <row r="274" spans="1:15" x14ac:dyDescent="0.75">
      <c r="A274" s="24" t="str">
        <f>IF(N274="W",COUNTIF(N$9:N274,"W"),"")</f>
        <v/>
      </c>
      <c r="B274" s="25"/>
      <c r="C274" s="25"/>
      <c r="D274" s="26"/>
      <c r="E274" s="25"/>
      <c r="F274" s="27"/>
      <c r="G274" s="28"/>
      <c r="H274" s="28"/>
      <c r="I274" s="29" t="str">
        <f t="shared" si="12"/>
        <v/>
      </c>
      <c r="J274" s="30" t="str">
        <f t="shared" si="13"/>
        <v/>
      </c>
      <c r="K274" s="26"/>
      <c r="L274" s="24" t="str">
        <f>IF(N274="","",IF(N274="T","Título de capítulo",IF(OR(ISERROR(F274),ISERROR(G274),ISERROR(H274)),"Error en fórmula: pegá como valores",IF(AND(B274="",$C$6=""),"Falta sector",IF(M274="","Falta capítulo",IF(TRIM(E274)="","Falta unidad",IF(NOT((COUNTIF(Listas!$A$2:$A$40,E274)+COUNTIF(Listas!$D$2:$D$60,E274)&gt;0)),"Unidad no reconocida",IF(AND(F274&lt;&gt;"",NOT(ISNUMBER(F274))),"Cantidad no es número",IF(N(F274)&lt;=0,"Falta cantidad",IF(OR(AND(G274&lt;&gt;"",NOT(ISNUMBER(G274))),AND(H274&lt;&gt;"",NOT(ISNUMBER(H274)))),"Precio no es número",IF(N(G274)+N(H274)&lt;=0,"Falta precio","✓ OK")))))))))))</f>
        <v/>
      </c>
      <c r="M274" t="str">
        <f>IF(N274&lt;&gt;"W","",IF(TRIM(C274)&lt;&gt;"",TRIM(C274),IFERROR(LOOKUP(2,1/(N$9:N274="T"),D$9:D274),"")))</f>
        <v/>
      </c>
      <c r="N274" t="str">
        <f t="shared" si="14"/>
        <v/>
      </c>
      <c r="O274" t="str">
        <f>IF(M274="","",IF(COUNTIF(M$9:M274,M274)=1,MAX(O$8:O273)+1,""))</f>
        <v/>
      </c>
    </row>
    <row r="275" spans="1:15" x14ac:dyDescent="0.75">
      <c r="A275" s="24" t="str">
        <f>IF(N275="W",COUNTIF(N$9:N275,"W"),"")</f>
        <v/>
      </c>
      <c r="B275" s="25"/>
      <c r="C275" s="25"/>
      <c r="D275" s="26"/>
      <c r="E275" s="25"/>
      <c r="F275" s="27"/>
      <c r="G275" s="28"/>
      <c r="H275" s="28"/>
      <c r="I275" s="29" t="str">
        <f t="shared" si="12"/>
        <v/>
      </c>
      <c r="J275" s="30" t="str">
        <f t="shared" si="13"/>
        <v/>
      </c>
      <c r="K275" s="26"/>
      <c r="L275" s="24" t="str">
        <f>IF(N275="","",IF(N275="T","Título de capítulo",IF(OR(ISERROR(F275),ISERROR(G275),ISERROR(H275)),"Error en fórmula: pegá como valores",IF(AND(B275="",$C$6=""),"Falta sector",IF(M275="","Falta capítulo",IF(TRIM(E275)="","Falta unidad",IF(NOT((COUNTIF(Listas!$A$2:$A$40,E275)+COUNTIF(Listas!$D$2:$D$60,E275)&gt;0)),"Unidad no reconocida",IF(AND(F275&lt;&gt;"",NOT(ISNUMBER(F275))),"Cantidad no es número",IF(N(F275)&lt;=0,"Falta cantidad",IF(OR(AND(G275&lt;&gt;"",NOT(ISNUMBER(G275))),AND(H275&lt;&gt;"",NOT(ISNUMBER(H275)))),"Precio no es número",IF(N(G275)+N(H275)&lt;=0,"Falta precio","✓ OK")))))))))))</f>
        <v/>
      </c>
      <c r="M275" t="str">
        <f>IF(N275&lt;&gt;"W","",IF(TRIM(C275)&lt;&gt;"",TRIM(C275),IFERROR(LOOKUP(2,1/(N$9:N275="T"),D$9:D275),"")))</f>
        <v/>
      </c>
      <c r="N275" t="str">
        <f t="shared" si="14"/>
        <v/>
      </c>
      <c r="O275" t="str">
        <f>IF(M275="","",IF(COUNTIF(M$9:M275,M275)=1,MAX(O$8:O274)+1,""))</f>
        <v/>
      </c>
    </row>
    <row r="276" spans="1:15" x14ac:dyDescent="0.75">
      <c r="A276" s="24" t="str">
        <f>IF(N276="W",COUNTIF(N$9:N276,"W"),"")</f>
        <v/>
      </c>
      <c r="B276" s="25"/>
      <c r="C276" s="25"/>
      <c r="D276" s="26"/>
      <c r="E276" s="25"/>
      <c r="F276" s="27"/>
      <c r="G276" s="28"/>
      <c r="H276" s="28"/>
      <c r="I276" s="29" t="str">
        <f t="shared" si="12"/>
        <v/>
      </c>
      <c r="J276" s="30" t="str">
        <f t="shared" si="13"/>
        <v/>
      </c>
      <c r="K276" s="26"/>
      <c r="L276" s="24" t="str">
        <f>IF(N276="","",IF(N276="T","Título de capítulo",IF(OR(ISERROR(F276),ISERROR(G276),ISERROR(H276)),"Error en fórmula: pegá como valores",IF(AND(B276="",$C$6=""),"Falta sector",IF(M276="","Falta capítulo",IF(TRIM(E276)="","Falta unidad",IF(NOT((COUNTIF(Listas!$A$2:$A$40,E276)+COUNTIF(Listas!$D$2:$D$60,E276)&gt;0)),"Unidad no reconocida",IF(AND(F276&lt;&gt;"",NOT(ISNUMBER(F276))),"Cantidad no es número",IF(N(F276)&lt;=0,"Falta cantidad",IF(OR(AND(G276&lt;&gt;"",NOT(ISNUMBER(G276))),AND(H276&lt;&gt;"",NOT(ISNUMBER(H276)))),"Precio no es número",IF(N(G276)+N(H276)&lt;=0,"Falta precio","✓ OK")))))))))))</f>
        <v/>
      </c>
      <c r="M276" t="str">
        <f>IF(N276&lt;&gt;"W","",IF(TRIM(C276)&lt;&gt;"",TRIM(C276),IFERROR(LOOKUP(2,1/(N$9:N276="T"),D$9:D276),"")))</f>
        <v/>
      </c>
      <c r="N276" t="str">
        <f t="shared" si="14"/>
        <v/>
      </c>
      <c r="O276" t="str">
        <f>IF(M276="","",IF(COUNTIF(M$9:M276,M276)=1,MAX(O$8:O275)+1,""))</f>
        <v/>
      </c>
    </row>
    <row r="277" spans="1:15" x14ac:dyDescent="0.75">
      <c r="A277" s="24" t="str">
        <f>IF(N277="W",COUNTIF(N$9:N277,"W"),"")</f>
        <v/>
      </c>
      <c r="B277" s="25"/>
      <c r="C277" s="25"/>
      <c r="D277" s="26"/>
      <c r="E277" s="25"/>
      <c r="F277" s="27"/>
      <c r="G277" s="28"/>
      <c r="H277" s="28"/>
      <c r="I277" s="29" t="str">
        <f t="shared" si="12"/>
        <v/>
      </c>
      <c r="J277" s="30" t="str">
        <f t="shared" si="13"/>
        <v/>
      </c>
      <c r="K277" s="26"/>
      <c r="L277" s="24" t="str">
        <f>IF(N277="","",IF(N277="T","Título de capítulo",IF(OR(ISERROR(F277),ISERROR(G277),ISERROR(H277)),"Error en fórmula: pegá como valores",IF(AND(B277="",$C$6=""),"Falta sector",IF(M277="","Falta capítulo",IF(TRIM(E277)="","Falta unidad",IF(NOT((COUNTIF(Listas!$A$2:$A$40,E277)+COUNTIF(Listas!$D$2:$D$60,E277)&gt;0)),"Unidad no reconocida",IF(AND(F277&lt;&gt;"",NOT(ISNUMBER(F277))),"Cantidad no es número",IF(N(F277)&lt;=0,"Falta cantidad",IF(OR(AND(G277&lt;&gt;"",NOT(ISNUMBER(G277))),AND(H277&lt;&gt;"",NOT(ISNUMBER(H277)))),"Precio no es número",IF(N(G277)+N(H277)&lt;=0,"Falta precio","✓ OK")))))))))))</f>
        <v/>
      </c>
      <c r="M277" t="str">
        <f>IF(N277&lt;&gt;"W","",IF(TRIM(C277)&lt;&gt;"",TRIM(C277),IFERROR(LOOKUP(2,1/(N$9:N277="T"),D$9:D277),"")))</f>
        <v/>
      </c>
      <c r="N277" t="str">
        <f t="shared" si="14"/>
        <v/>
      </c>
      <c r="O277" t="str">
        <f>IF(M277="","",IF(COUNTIF(M$9:M277,M277)=1,MAX(O$8:O276)+1,""))</f>
        <v/>
      </c>
    </row>
    <row r="278" spans="1:15" x14ac:dyDescent="0.75">
      <c r="A278" s="24" t="str">
        <f>IF(N278="W",COUNTIF(N$9:N278,"W"),"")</f>
        <v/>
      </c>
      <c r="B278" s="25"/>
      <c r="C278" s="25"/>
      <c r="D278" s="26"/>
      <c r="E278" s="25"/>
      <c r="F278" s="27"/>
      <c r="G278" s="28"/>
      <c r="H278" s="28"/>
      <c r="I278" s="29" t="str">
        <f t="shared" si="12"/>
        <v/>
      </c>
      <c r="J278" s="30" t="str">
        <f t="shared" si="13"/>
        <v/>
      </c>
      <c r="K278" s="26"/>
      <c r="L278" s="24" t="str">
        <f>IF(N278="","",IF(N278="T","Título de capítulo",IF(OR(ISERROR(F278),ISERROR(G278),ISERROR(H278)),"Error en fórmula: pegá como valores",IF(AND(B278="",$C$6=""),"Falta sector",IF(M278="","Falta capítulo",IF(TRIM(E278)="","Falta unidad",IF(NOT((COUNTIF(Listas!$A$2:$A$40,E278)+COUNTIF(Listas!$D$2:$D$60,E278)&gt;0)),"Unidad no reconocida",IF(AND(F278&lt;&gt;"",NOT(ISNUMBER(F278))),"Cantidad no es número",IF(N(F278)&lt;=0,"Falta cantidad",IF(OR(AND(G278&lt;&gt;"",NOT(ISNUMBER(G278))),AND(H278&lt;&gt;"",NOT(ISNUMBER(H278)))),"Precio no es número",IF(N(G278)+N(H278)&lt;=0,"Falta precio","✓ OK")))))))))))</f>
        <v/>
      </c>
      <c r="M278" t="str">
        <f>IF(N278&lt;&gt;"W","",IF(TRIM(C278)&lt;&gt;"",TRIM(C278),IFERROR(LOOKUP(2,1/(N$9:N278="T"),D$9:D278),"")))</f>
        <v/>
      </c>
      <c r="N278" t="str">
        <f t="shared" si="14"/>
        <v/>
      </c>
      <c r="O278" t="str">
        <f>IF(M278="","",IF(COUNTIF(M$9:M278,M278)=1,MAX(O$8:O277)+1,""))</f>
        <v/>
      </c>
    </row>
    <row r="279" spans="1:15" x14ac:dyDescent="0.75">
      <c r="A279" s="24" t="str">
        <f>IF(N279="W",COUNTIF(N$9:N279,"W"),"")</f>
        <v/>
      </c>
      <c r="B279" s="25"/>
      <c r="C279" s="25"/>
      <c r="D279" s="26"/>
      <c r="E279" s="25"/>
      <c r="F279" s="27"/>
      <c r="G279" s="28"/>
      <c r="H279" s="28"/>
      <c r="I279" s="29" t="str">
        <f t="shared" si="12"/>
        <v/>
      </c>
      <c r="J279" s="30" t="str">
        <f t="shared" si="13"/>
        <v/>
      </c>
      <c r="K279" s="26"/>
      <c r="L279" s="24" t="str">
        <f>IF(N279="","",IF(N279="T","Título de capítulo",IF(OR(ISERROR(F279),ISERROR(G279),ISERROR(H279)),"Error en fórmula: pegá como valores",IF(AND(B279="",$C$6=""),"Falta sector",IF(M279="","Falta capítulo",IF(TRIM(E279)="","Falta unidad",IF(NOT((COUNTIF(Listas!$A$2:$A$40,E279)+COUNTIF(Listas!$D$2:$D$60,E279)&gt;0)),"Unidad no reconocida",IF(AND(F279&lt;&gt;"",NOT(ISNUMBER(F279))),"Cantidad no es número",IF(N(F279)&lt;=0,"Falta cantidad",IF(OR(AND(G279&lt;&gt;"",NOT(ISNUMBER(G279))),AND(H279&lt;&gt;"",NOT(ISNUMBER(H279)))),"Precio no es número",IF(N(G279)+N(H279)&lt;=0,"Falta precio","✓ OK")))))))))))</f>
        <v/>
      </c>
      <c r="M279" t="str">
        <f>IF(N279&lt;&gt;"W","",IF(TRIM(C279)&lt;&gt;"",TRIM(C279),IFERROR(LOOKUP(2,1/(N$9:N279="T"),D$9:D279),"")))</f>
        <v/>
      </c>
      <c r="N279" t="str">
        <f t="shared" si="14"/>
        <v/>
      </c>
      <c r="O279" t="str">
        <f>IF(M279="","",IF(COUNTIF(M$9:M279,M279)=1,MAX(O$8:O278)+1,""))</f>
        <v/>
      </c>
    </row>
    <row r="280" spans="1:15" x14ac:dyDescent="0.75">
      <c r="A280" s="24" t="str">
        <f>IF(N280="W",COUNTIF(N$9:N280,"W"),"")</f>
        <v/>
      </c>
      <c r="B280" s="25"/>
      <c r="C280" s="25"/>
      <c r="D280" s="26"/>
      <c r="E280" s="25"/>
      <c r="F280" s="27"/>
      <c r="G280" s="28"/>
      <c r="H280" s="28"/>
      <c r="I280" s="29" t="str">
        <f t="shared" si="12"/>
        <v/>
      </c>
      <c r="J280" s="30" t="str">
        <f t="shared" si="13"/>
        <v/>
      </c>
      <c r="K280" s="26"/>
      <c r="L280" s="24" t="str">
        <f>IF(N280="","",IF(N280="T","Título de capítulo",IF(OR(ISERROR(F280),ISERROR(G280),ISERROR(H280)),"Error en fórmula: pegá como valores",IF(AND(B280="",$C$6=""),"Falta sector",IF(M280="","Falta capítulo",IF(TRIM(E280)="","Falta unidad",IF(NOT((COUNTIF(Listas!$A$2:$A$40,E280)+COUNTIF(Listas!$D$2:$D$60,E280)&gt;0)),"Unidad no reconocida",IF(AND(F280&lt;&gt;"",NOT(ISNUMBER(F280))),"Cantidad no es número",IF(N(F280)&lt;=0,"Falta cantidad",IF(OR(AND(G280&lt;&gt;"",NOT(ISNUMBER(G280))),AND(H280&lt;&gt;"",NOT(ISNUMBER(H280)))),"Precio no es número",IF(N(G280)+N(H280)&lt;=0,"Falta precio","✓ OK")))))))))))</f>
        <v/>
      </c>
      <c r="M280" t="str">
        <f>IF(N280&lt;&gt;"W","",IF(TRIM(C280)&lt;&gt;"",TRIM(C280),IFERROR(LOOKUP(2,1/(N$9:N280="T"),D$9:D280),"")))</f>
        <v/>
      </c>
      <c r="N280" t="str">
        <f t="shared" si="14"/>
        <v/>
      </c>
      <c r="O280" t="str">
        <f>IF(M280="","",IF(COUNTIF(M$9:M280,M280)=1,MAX(O$8:O279)+1,""))</f>
        <v/>
      </c>
    </row>
    <row r="281" spans="1:15" x14ac:dyDescent="0.75">
      <c r="A281" s="24" t="str">
        <f>IF(N281="W",COUNTIF(N$9:N281,"W"),"")</f>
        <v/>
      </c>
      <c r="B281" s="25"/>
      <c r="C281" s="25"/>
      <c r="D281" s="26"/>
      <c r="E281" s="25"/>
      <c r="F281" s="27"/>
      <c r="G281" s="28"/>
      <c r="H281" s="28"/>
      <c r="I281" s="29" t="str">
        <f t="shared" si="12"/>
        <v/>
      </c>
      <c r="J281" s="30" t="str">
        <f t="shared" si="13"/>
        <v/>
      </c>
      <c r="K281" s="26"/>
      <c r="L281" s="24" t="str">
        <f>IF(N281="","",IF(N281="T","Título de capítulo",IF(OR(ISERROR(F281),ISERROR(G281),ISERROR(H281)),"Error en fórmula: pegá como valores",IF(AND(B281="",$C$6=""),"Falta sector",IF(M281="","Falta capítulo",IF(TRIM(E281)="","Falta unidad",IF(NOT((COUNTIF(Listas!$A$2:$A$40,E281)+COUNTIF(Listas!$D$2:$D$60,E281)&gt;0)),"Unidad no reconocida",IF(AND(F281&lt;&gt;"",NOT(ISNUMBER(F281))),"Cantidad no es número",IF(N(F281)&lt;=0,"Falta cantidad",IF(OR(AND(G281&lt;&gt;"",NOT(ISNUMBER(G281))),AND(H281&lt;&gt;"",NOT(ISNUMBER(H281)))),"Precio no es número",IF(N(G281)+N(H281)&lt;=0,"Falta precio","✓ OK")))))))))))</f>
        <v/>
      </c>
      <c r="M281" t="str">
        <f>IF(N281&lt;&gt;"W","",IF(TRIM(C281)&lt;&gt;"",TRIM(C281),IFERROR(LOOKUP(2,1/(N$9:N281="T"),D$9:D281),"")))</f>
        <v/>
      </c>
      <c r="N281" t="str">
        <f t="shared" si="14"/>
        <v/>
      </c>
      <c r="O281" t="str">
        <f>IF(M281="","",IF(COUNTIF(M$9:M281,M281)=1,MAX(O$8:O280)+1,""))</f>
        <v/>
      </c>
    </row>
    <row r="282" spans="1:15" x14ac:dyDescent="0.75">
      <c r="A282" s="24" t="str">
        <f>IF(N282="W",COUNTIF(N$9:N282,"W"),"")</f>
        <v/>
      </c>
      <c r="B282" s="25"/>
      <c r="C282" s="25"/>
      <c r="D282" s="26"/>
      <c r="E282" s="25"/>
      <c r="F282" s="27"/>
      <c r="G282" s="28"/>
      <c r="H282" s="28"/>
      <c r="I282" s="29" t="str">
        <f t="shared" si="12"/>
        <v/>
      </c>
      <c r="J282" s="30" t="str">
        <f t="shared" si="13"/>
        <v/>
      </c>
      <c r="K282" s="26"/>
      <c r="L282" s="24" t="str">
        <f>IF(N282="","",IF(N282="T","Título de capítulo",IF(OR(ISERROR(F282),ISERROR(G282),ISERROR(H282)),"Error en fórmula: pegá como valores",IF(AND(B282="",$C$6=""),"Falta sector",IF(M282="","Falta capítulo",IF(TRIM(E282)="","Falta unidad",IF(NOT((COUNTIF(Listas!$A$2:$A$40,E282)+COUNTIF(Listas!$D$2:$D$60,E282)&gt;0)),"Unidad no reconocida",IF(AND(F282&lt;&gt;"",NOT(ISNUMBER(F282))),"Cantidad no es número",IF(N(F282)&lt;=0,"Falta cantidad",IF(OR(AND(G282&lt;&gt;"",NOT(ISNUMBER(G282))),AND(H282&lt;&gt;"",NOT(ISNUMBER(H282)))),"Precio no es número",IF(N(G282)+N(H282)&lt;=0,"Falta precio","✓ OK")))))))))))</f>
        <v/>
      </c>
      <c r="M282" t="str">
        <f>IF(N282&lt;&gt;"W","",IF(TRIM(C282)&lt;&gt;"",TRIM(C282),IFERROR(LOOKUP(2,1/(N$9:N282="T"),D$9:D282),"")))</f>
        <v/>
      </c>
      <c r="N282" t="str">
        <f t="shared" si="14"/>
        <v/>
      </c>
      <c r="O282" t="str">
        <f>IF(M282="","",IF(COUNTIF(M$9:M282,M282)=1,MAX(O$8:O281)+1,""))</f>
        <v/>
      </c>
    </row>
    <row r="283" spans="1:15" x14ac:dyDescent="0.75">
      <c r="A283" s="24" t="str">
        <f>IF(N283="W",COUNTIF(N$9:N283,"W"),"")</f>
        <v/>
      </c>
      <c r="B283" s="25"/>
      <c r="C283" s="25"/>
      <c r="D283" s="26"/>
      <c r="E283" s="25"/>
      <c r="F283" s="27"/>
      <c r="G283" s="28"/>
      <c r="H283" s="28"/>
      <c r="I283" s="29" t="str">
        <f t="shared" si="12"/>
        <v/>
      </c>
      <c r="J283" s="30" t="str">
        <f t="shared" si="13"/>
        <v/>
      </c>
      <c r="K283" s="26"/>
      <c r="L283" s="24" t="str">
        <f>IF(N283="","",IF(N283="T","Título de capítulo",IF(OR(ISERROR(F283),ISERROR(G283),ISERROR(H283)),"Error en fórmula: pegá como valores",IF(AND(B283="",$C$6=""),"Falta sector",IF(M283="","Falta capítulo",IF(TRIM(E283)="","Falta unidad",IF(NOT((COUNTIF(Listas!$A$2:$A$40,E283)+COUNTIF(Listas!$D$2:$D$60,E283)&gt;0)),"Unidad no reconocida",IF(AND(F283&lt;&gt;"",NOT(ISNUMBER(F283))),"Cantidad no es número",IF(N(F283)&lt;=0,"Falta cantidad",IF(OR(AND(G283&lt;&gt;"",NOT(ISNUMBER(G283))),AND(H283&lt;&gt;"",NOT(ISNUMBER(H283)))),"Precio no es número",IF(N(G283)+N(H283)&lt;=0,"Falta precio","✓ OK")))))))))))</f>
        <v/>
      </c>
      <c r="M283" t="str">
        <f>IF(N283&lt;&gt;"W","",IF(TRIM(C283)&lt;&gt;"",TRIM(C283),IFERROR(LOOKUP(2,1/(N$9:N283="T"),D$9:D283),"")))</f>
        <v/>
      </c>
      <c r="N283" t="str">
        <f t="shared" si="14"/>
        <v/>
      </c>
      <c r="O283" t="str">
        <f>IF(M283="","",IF(COUNTIF(M$9:M283,M283)=1,MAX(O$8:O282)+1,""))</f>
        <v/>
      </c>
    </row>
    <row r="284" spans="1:15" x14ac:dyDescent="0.75">
      <c r="A284" s="24" t="str">
        <f>IF(N284="W",COUNTIF(N$9:N284,"W"),"")</f>
        <v/>
      </c>
      <c r="B284" s="25"/>
      <c r="C284" s="25"/>
      <c r="D284" s="26"/>
      <c r="E284" s="25"/>
      <c r="F284" s="27"/>
      <c r="G284" s="28"/>
      <c r="H284" s="28"/>
      <c r="I284" s="29" t="str">
        <f t="shared" si="12"/>
        <v/>
      </c>
      <c r="J284" s="30" t="str">
        <f t="shared" si="13"/>
        <v/>
      </c>
      <c r="K284" s="26"/>
      <c r="L284" s="24" t="str">
        <f>IF(N284="","",IF(N284="T","Título de capítulo",IF(OR(ISERROR(F284),ISERROR(G284),ISERROR(H284)),"Error en fórmula: pegá como valores",IF(AND(B284="",$C$6=""),"Falta sector",IF(M284="","Falta capítulo",IF(TRIM(E284)="","Falta unidad",IF(NOT((COUNTIF(Listas!$A$2:$A$40,E284)+COUNTIF(Listas!$D$2:$D$60,E284)&gt;0)),"Unidad no reconocida",IF(AND(F284&lt;&gt;"",NOT(ISNUMBER(F284))),"Cantidad no es número",IF(N(F284)&lt;=0,"Falta cantidad",IF(OR(AND(G284&lt;&gt;"",NOT(ISNUMBER(G284))),AND(H284&lt;&gt;"",NOT(ISNUMBER(H284)))),"Precio no es número",IF(N(G284)+N(H284)&lt;=0,"Falta precio","✓ OK")))))))))))</f>
        <v/>
      </c>
      <c r="M284" t="str">
        <f>IF(N284&lt;&gt;"W","",IF(TRIM(C284)&lt;&gt;"",TRIM(C284),IFERROR(LOOKUP(2,1/(N$9:N284="T"),D$9:D284),"")))</f>
        <v/>
      </c>
      <c r="N284" t="str">
        <f t="shared" si="14"/>
        <v/>
      </c>
      <c r="O284" t="str">
        <f>IF(M284="","",IF(COUNTIF(M$9:M284,M284)=1,MAX(O$8:O283)+1,""))</f>
        <v/>
      </c>
    </row>
    <row r="285" spans="1:15" x14ac:dyDescent="0.75">
      <c r="A285" s="24" t="str">
        <f>IF(N285="W",COUNTIF(N$9:N285,"W"),"")</f>
        <v/>
      </c>
      <c r="B285" s="25"/>
      <c r="C285" s="25"/>
      <c r="D285" s="26"/>
      <c r="E285" s="25"/>
      <c r="F285" s="27"/>
      <c r="G285" s="28"/>
      <c r="H285" s="28"/>
      <c r="I285" s="29" t="str">
        <f t="shared" si="12"/>
        <v/>
      </c>
      <c r="J285" s="30" t="str">
        <f t="shared" si="13"/>
        <v/>
      </c>
      <c r="K285" s="26"/>
      <c r="L285" s="24" t="str">
        <f>IF(N285="","",IF(N285="T","Título de capítulo",IF(OR(ISERROR(F285),ISERROR(G285),ISERROR(H285)),"Error en fórmula: pegá como valores",IF(AND(B285="",$C$6=""),"Falta sector",IF(M285="","Falta capítulo",IF(TRIM(E285)="","Falta unidad",IF(NOT((COUNTIF(Listas!$A$2:$A$40,E285)+COUNTIF(Listas!$D$2:$D$60,E285)&gt;0)),"Unidad no reconocida",IF(AND(F285&lt;&gt;"",NOT(ISNUMBER(F285))),"Cantidad no es número",IF(N(F285)&lt;=0,"Falta cantidad",IF(OR(AND(G285&lt;&gt;"",NOT(ISNUMBER(G285))),AND(H285&lt;&gt;"",NOT(ISNUMBER(H285)))),"Precio no es número",IF(N(G285)+N(H285)&lt;=0,"Falta precio","✓ OK")))))))))))</f>
        <v/>
      </c>
      <c r="M285" t="str">
        <f>IF(N285&lt;&gt;"W","",IF(TRIM(C285)&lt;&gt;"",TRIM(C285),IFERROR(LOOKUP(2,1/(N$9:N285="T"),D$9:D285),"")))</f>
        <v/>
      </c>
      <c r="N285" t="str">
        <f t="shared" si="14"/>
        <v/>
      </c>
      <c r="O285" t="str">
        <f>IF(M285="","",IF(COUNTIF(M$9:M285,M285)=1,MAX(O$8:O284)+1,""))</f>
        <v/>
      </c>
    </row>
    <row r="286" spans="1:15" x14ac:dyDescent="0.75">
      <c r="A286" s="24" t="str">
        <f>IF(N286="W",COUNTIF(N$9:N286,"W"),"")</f>
        <v/>
      </c>
      <c r="B286" s="25"/>
      <c r="C286" s="25"/>
      <c r="D286" s="26"/>
      <c r="E286" s="25"/>
      <c r="F286" s="27"/>
      <c r="G286" s="28"/>
      <c r="H286" s="28"/>
      <c r="I286" s="29" t="str">
        <f t="shared" si="12"/>
        <v/>
      </c>
      <c r="J286" s="30" t="str">
        <f t="shared" si="13"/>
        <v/>
      </c>
      <c r="K286" s="26"/>
      <c r="L286" s="24" t="str">
        <f>IF(N286="","",IF(N286="T","Título de capítulo",IF(OR(ISERROR(F286),ISERROR(G286),ISERROR(H286)),"Error en fórmula: pegá como valores",IF(AND(B286="",$C$6=""),"Falta sector",IF(M286="","Falta capítulo",IF(TRIM(E286)="","Falta unidad",IF(NOT((COUNTIF(Listas!$A$2:$A$40,E286)+COUNTIF(Listas!$D$2:$D$60,E286)&gt;0)),"Unidad no reconocida",IF(AND(F286&lt;&gt;"",NOT(ISNUMBER(F286))),"Cantidad no es número",IF(N(F286)&lt;=0,"Falta cantidad",IF(OR(AND(G286&lt;&gt;"",NOT(ISNUMBER(G286))),AND(H286&lt;&gt;"",NOT(ISNUMBER(H286)))),"Precio no es número",IF(N(G286)+N(H286)&lt;=0,"Falta precio","✓ OK")))))))))))</f>
        <v/>
      </c>
      <c r="M286" t="str">
        <f>IF(N286&lt;&gt;"W","",IF(TRIM(C286)&lt;&gt;"",TRIM(C286),IFERROR(LOOKUP(2,1/(N$9:N286="T"),D$9:D286),"")))</f>
        <v/>
      </c>
      <c r="N286" t="str">
        <f t="shared" si="14"/>
        <v/>
      </c>
      <c r="O286" t="str">
        <f>IF(M286="","",IF(COUNTIF(M$9:M286,M286)=1,MAX(O$8:O285)+1,""))</f>
        <v/>
      </c>
    </row>
    <row r="287" spans="1:15" x14ac:dyDescent="0.75">
      <c r="A287" s="24" t="str">
        <f>IF(N287="W",COUNTIF(N$9:N287,"W"),"")</f>
        <v/>
      </c>
      <c r="B287" s="25"/>
      <c r="C287" s="25"/>
      <c r="D287" s="26"/>
      <c r="E287" s="25"/>
      <c r="F287" s="27"/>
      <c r="G287" s="28"/>
      <c r="H287" s="28"/>
      <c r="I287" s="29" t="str">
        <f t="shared" si="12"/>
        <v/>
      </c>
      <c r="J287" s="30" t="str">
        <f t="shared" si="13"/>
        <v/>
      </c>
      <c r="K287" s="26"/>
      <c r="L287" s="24" t="str">
        <f>IF(N287="","",IF(N287="T","Título de capítulo",IF(OR(ISERROR(F287),ISERROR(G287),ISERROR(H287)),"Error en fórmula: pegá como valores",IF(AND(B287="",$C$6=""),"Falta sector",IF(M287="","Falta capítulo",IF(TRIM(E287)="","Falta unidad",IF(NOT((COUNTIF(Listas!$A$2:$A$40,E287)+COUNTIF(Listas!$D$2:$D$60,E287)&gt;0)),"Unidad no reconocida",IF(AND(F287&lt;&gt;"",NOT(ISNUMBER(F287))),"Cantidad no es número",IF(N(F287)&lt;=0,"Falta cantidad",IF(OR(AND(G287&lt;&gt;"",NOT(ISNUMBER(G287))),AND(H287&lt;&gt;"",NOT(ISNUMBER(H287)))),"Precio no es número",IF(N(G287)+N(H287)&lt;=0,"Falta precio","✓ OK")))))))))))</f>
        <v/>
      </c>
      <c r="M287" t="str">
        <f>IF(N287&lt;&gt;"W","",IF(TRIM(C287)&lt;&gt;"",TRIM(C287),IFERROR(LOOKUP(2,1/(N$9:N287="T"),D$9:D287),"")))</f>
        <v/>
      </c>
      <c r="N287" t="str">
        <f t="shared" si="14"/>
        <v/>
      </c>
      <c r="O287" t="str">
        <f>IF(M287="","",IF(COUNTIF(M$9:M287,M287)=1,MAX(O$8:O286)+1,""))</f>
        <v/>
      </c>
    </row>
    <row r="288" spans="1:15" x14ac:dyDescent="0.75">
      <c r="A288" s="24" t="str">
        <f>IF(N288="W",COUNTIF(N$9:N288,"W"),"")</f>
        <v/>
      </c>
      <c r="B288" s="25"/>
      <c r="C288" s="25"/>
      <c r="D288" s="26"/>
      <c r="E288" s="25"/>
      <c r="F288" s="27"/>
      <c r="G288" s="28"/>
      <c r="H288" s="28"/>
      <c r="I288" s="29" t="str">
        <f t="shared" si="12"/>
        <v/>
      </c>
      <c r="J288" s="30" t="str">
        <f t="shared" si="13"/>
        <v/>
      </c>
      <c r="K288" s="26"/>
      <c r="L288" s="24" t="str">
        <f>IF(N288="","",IF(N288="T","Título de capítulo",IF(OR(ISERROR(F288),ISERROR(G288),ISERROR(H288)),"Error en fórmula: pegá como valores",IF(AND(B288="",$C$6=""),"Falta sector",IF(M288="","Falta capítulo",IF(TRIM(E288)="","Falta unidad",IF(NOT((COUNTIF(Listas!$A$2:$A$40,E288)+COUNTIF(Listas!$D$2:$D$60,E288)&gt;0)),"Unidad no reconocida",IF(AND(F288&lt;&gt;"",NOT(ISNUMBER(F288))),"Cantidad no es número",IF(N(F288)&lt;=0,"Falta cantidad",IF(OR(AND(G288&lt;&gt;"",NOT(ISNUMBER(G288))),AND(H288&lt;&gt;"",NOT(ISNUMBER(H288)))),"Precio no es número",IF(N(G288)+N(H288)&lt;=0,"Falta precio","✓ OK")))))))))))</f>
        <v/>
      </c>
      <c r="M288" t="str">
        <f>IF(N288&lt;&gt;"W","",IF(TRIM(C288)&lt;&gt;"",TRIM(C288),IFERROR(LOOKUP(2,1/(N$9:N288="T"),D$9:D288),"")))</f>
        <v/>
      </c>
      <c r="N288" t="str">
        <f t="shared" si="14"/>
        <v/>
      </c>
      <c r="O288" t="str">
        <f>IF(M288="","",IF(COUNTIF(M$9:M288,M288)=1,MAX(O$8:O287)+1,""))</f>
        <v/>
      </c>
    </row>
    <row r="289" spans="1:15" x14ac:dyDescent="0.75">
      <c r="A289" s="24" t="str">
        <f>IF(N289="W",COUNTIF(N$9:N289,"W"),"")</f>
        <v/>
      </c>
      <c r="B289" s="25"/>
      <c r="C289" s="25"/>
      <c r="D289" s="26"/>
      <c r="E289" s="25"/>
      <c r="F289" s="27"/>
      <c r="G289" s="28"/>
      <c r="H289" s="28"/>
      <c r="I289" s="29" t="str">
        <f t="shared" si="12"/>
        <v/>
      </c>
      <c r="J289" s="30" t="str">
        <f t="shared" si="13"/>
        <v/>
      </c>
      <c r="K289" s="26"/>
      <c r="L289" s="24" t="str">
        <f>IF(N289="","",IF(N289="T","Título de capítulo",IF(OR(ISERROR(F289),ISERROR(G289),ISERROR(H289)),"Error en fórmula: pegá como valores",IF(AND(B289="",$C$6=""),"Falta sector",IF(M289="","Falta capítulo",IF(TRIM(E289)="","Falta unidad",IF(NOT((COUNTIF(Listas!$A$2:$A$40,E289)+COUNTIF(Listas!$D$2:$D$60,E289)&gt;0)),"Unidad no reconocida",IF(AND(F289&lt;&gt;"",NOT(ISNUMBER(F289))),"Cantidad no es número",IF(N(F289)&lt;=0,"Falta cantidad",IF(OR(AND(G289&lt;&gt;"",NOT(ISNUMBER(G289))),AND(H289&lt;&gt;"",NOT(ISNUMBER(H289)))),"Precio no es número",IF(N(G289)+N(H289)&lt;=0,"Falta precio","✓ OK")))))))))))</f>
        <v/>
      </c>
      <c r="M289" t="str">
        <f>IF(N289&lt;&gt;"W","",IF(TRIM(C289)&lt;&gt;"",TRIM(C289),IFERROR(LOOKUP(2,1/(N$9:N289="T"),D$9:D289),"")))</f>
        <v/>
      </c>
      <c r="N289" t="str">
        <f t="shared" si="14"/>
        <v/>
      </c>
      <c r="O289" t="str">
        <f>IF(M289="","",IF(COUNTIF(M$9:M289,M289)=1,MAX(O$8:O288)+1,""))</f>
        <v/>
      </c>
    </row>
    <row r="290" spans="1:15" x14ac:dyDescent="0.75">
      <c r="A290" s="24" t="str">
        <f>IF(N290="W",COUNTIF(N$9:N290,"W"),"")</f>
        <v/>
      </c>
      <c r="B290" s="25"/>
      <c r="C290" s="25"/>
      <c r="D290" s="26"/>
      <c r="E290" s="25"/>
      <c r="F290" s="27"/>
      <c r="G290" s="28"/>
      <c r="H290" s="28"/>
      <c r="I290" s="29" t="str">
        <f t="shared" si="12"/>
        <v/>
      </c>
      <c r="J290" s="30" t="str">
        <f t="shared" si="13"/>
        <v/>
      </c>
      <c r="K290" s="26"/>
      <c r="L290" s="24" t="str">
        <f>IF(N290="","",IF(N290="T","Título de capítulo",IF(OR(ISERROR(F290),ISERROR(G290),ISERROR(H290)),"Error en fórmula: pegá como valores",IF(AND(B290="",$C$6=""),"Falta sector",IF(M290="","Falta capítulo",IF(TRIM(E290)="","Falta unidad",IF(NOT((COUNTIF(Listas!$A$2:$A$40,E290)+COUNTIF(Listas!$D$2:$D$60,E290)&gt;0)),"Unidad no reconocida",IF(AND(F290&lt;&gt;"",NOT(ISNUMBER(F290))),"Cantidad no es número",IF(N(F290)&lt;=0,"Falta cantidad",IF(OR(AND(G290&lt;&gt;"",NOT(ISNUMBER(G290))),AND(H290&lt;&gt;"",NOT(ISNUMBER(H290)))),"Precio no es número",IF(N(G290)+N(H290)&lt;=0,"Falta precio","✓ OK")))))))))))</f>
        <v/>
      </c>
      <c r="M290" t="str">
        <f>IF(N290&lt;&gt;"W","",IF(TRIM(C290)&lt;&gt;"",TRIM(C290),IFERROR(LOOKUP(2,1/(N$9:N290="T"),D$9:D290),"")))</f>
        <v/>
      </c>
      <c r="N290" t="str">
        <f t="shared" si="14"/>
        <v/>
      </c>
      <c r="O290" t="str">
        <f>IF(M290="","",IF(COUNTIF(M$9:M290,M290)=1,MAX(O$8:O289)+1,""))</f>
        <v/>
      </c>
    </row>
    <row r="291" spans="1:15" x14ac:dyDescent="0.75">
      <c r="A291" s="24" t="str">
        <f>IF(N291="W",COUNTIF(N$9:N291,"W"),"")</f>
        <v/>
      </c>
      <c r="B291" s="25"/>
      <c r="C291" s="25"/>
      <c r="D291" s="26"/>
      <c r="E291" s="25"/>
      <c r="F291" s="27"/>
      <c r="G291" s="28"/>
      <c r="H291" s="28"/>
      <c r="I291" s="29" t="str">
        <f t="shared" si="12"/>
        <v/>
      </c>
      <c r="J291" s="30" t="str">
        <f t="shared" si="13"/>
        <v/>
      </c>
      <c r="K291" s="26"/>
      <c r="L291" s="24" t="str">
        <f>IF(N291="","",IF(N291="T","Título de capítulo",IF(OR(ISERROR(F291),ISERROR(G291),ISERROR(H291)),"Error en fórmula: pegá como valores",IF(AND(B291="",$C$6=""),"Falta sector",IF(M291="","Falta capítulo",IF(TRIM(E291)="","Falta unidad",IF(NOT((COUNTIF(Listas!$A$2:$A$40,E291)+COUNTIF(Listas!$D$2:$D$60,E291)&gt;0)),"Unidad no reconocida",IF(AND(F291&lt;&gt;"",NOT(ISNUMBER(F291))),"Cantidad no es número",IF(N(F291)&lt;=0,"Falta cantidad",IF(OR(AND(G291&lt;&gt;"",NOT(ISNUMBER(G291))),AND(H291&lt;&gt;"",NOT(ISNUMBER(H291)))),"Precio no es número",IF(N(G291)+N(H291)&lt;=0,"Falta precio","✓ OK")))))))))))</f>
        <v/>
      </c>
      <c r="M291" t="str">
        <f>IF(N291&lt;&gt;"W","",IF(TRIM(C291)&lt;&gt;"",TRIM(C291),IFERROR(LOOKUP(2,1/(N$9:N291="T"),D$9:D291),"")))</f>
        <v/>
      </c>
      <c r="N291" t="str">
        <f t="shared" si="14"/>
        <v/>
      </c>
      <c r="O291" t="str">
        <f>IF(M291="","",IF(COUNTIF(M$9:M291,M291)=1,MAX(O$8:O290)+1,""))</f>
        <v/>
      </c>
    </row>
    <row r="292" spans="1:15" x14ac:dyDescent="0.75">
      <c r="A292" s="24" t="str">
        <f>IF(N292="W",COUNTIF(N$9:N292,"W"),"")</f>
        <v/>
      </c>
      <c r="B292" s="25"/>
      <c r="C292" s="25"/>
      <c r="D292" s="26"/>
      <c r="E292" s="25"/>
      <c r="F292" s="27"/>
      <c r="G292" s="28"/>
      <c r="H292" s="28"/>
      <c r="I292" s="29" t="str">
        <f t="shared" si="12"/>
        <v/>
      </c>
      <c r="J292" s="30" t="str">
        <f t="shared" si="13"/>
        <v/>
      </c>
      <c r="K292" s="26"/>
      <c r="L292" s="24" t="str">
        <f>IF(N292="","",IF(N292="T","Título de capítulo",IF(OR(ISERROR(F292),ISERROR(G292),ISERROR(H292)),"Error en fórmula: pegá como valores",IF(AND(B292="",$C$6=""),"Falta sector",IF(M292="","Falta capítulo",IF(TRIM(E292)="","Falta unidad",IF(NOT((COUNTIF(Listas!$A$2:$A$40,E292)+COUNTIF(Listas!$D$2:$D$60,E292)&gt;0)),"Unidad no reconocida",IF(AND(F292&lt;&gt;"",NOT(ISNUMBER(F292))),"Cantidad no es número",IF(N(F292)&lt;=0,"Falta cantidad",IF(OR(AND(G292&lt;&gt;"",NOT(ISNUMBER(G292))),AND(H292&lt;&gt;"",NOT(ISNUMBER(H292)))),"Precio no es número",IF(N(G292)+N(H292)&lt;=0,"Falta precio","✓ OK")))))))))))</f>
        <v/>
      </c>
      <c r="M292" t="str">
        <f>IF(N292&lt;&gt;"W","",IF(TRIM(C292)&lt;&gt;"",TRIM(C292),IFERROR(LOOKUP(2,1/(N$9:N292="T"),D$9:D292),"")))</f>
        <v/>
      </c>
      <c r="N292" t="str">
        <f t="shared" si="14"/>
        <v/>
      </c>
      <c r="O292" t="str">
        <f>IF(M292="","",IF(COUNTIF(M$9:M292,M292)=1,MAX(O$8:O291)+1,""))</f>
        <v/>
      </c>
    </row>
    <row r="293" spans="1:15" x14ac:dyDescent="0.75">
      <c r="A293" s="24" t="str">
        <f>IF(N293="W",COUNTIF(N$9:N293,"W"),"")</f>
        <v/>
      </c>
      <c r="B293" s="25"/>
      <c r="C293" s="25"/>
      <c r="D293" s="26"/>
      <c r="E293" s="25"/>
      <c r="F293" s="27"/>
      <c r="G293" s="28"/>
      <c r="H293" s="28"/>
      <c r="I293" s="29" t="str">
        <f t="shared" si="12"/>
        <v/>
      </c>
      <c r="J293" s="30" t="str">
        <f t="shared" si="13"/>
        <v/>
      </c>
      <c r="K293" s="26"/>
      <c r="L293" s="24" t="str">
        <f>IF(N293="","",IF(N293="T","Título de capítulo",IF(OR(ISERROR(F293),ISERROR(G293),ISERROR(H293)),"Error en fórmula: pegá como valores",IF(AND(B293="",$C$6=""),"Falta sector",IF(M293="","Falta capítulo",IF(TRIM(E293)="","Falta unidad",IF(NOT((COUNTIF(Listas!$A$2:$A$40,E293)+COUNTIF(Listas!$D$2:$D$60,E293)&gt;0)),"Unidad no reconocida",IF(AND(F293&lt;&gt;"",NOT(ISNUMBER(F293))),"Cantidad no es número",IF(N(F293)&lt;=0,"Falta cantidad",IF(OR(AND(G293&lt;&gt;"",NOT(ISNUMBER(G293))),AND(H293&lt;&gt;"",NOT(ISNUMBER(H293)))),"Precio no es número",IF(N(G293)+N(H293)&lt;=0,"Falta precio","✓ OK")))))))))))</f>
        <v/>
      </c>
      <c r="M293" t="str">
        <f>IF(N293&lt;&gt;"W","",IF(TRIM(C293)&lt;&gt;"",TRIM(C293),IFERROR(LOOKUP(2,1/(N$9:N293="T"),D$9:D293),"")))</f>
        <v/>
      </c>
      <c r="N293" t="str">
        <f t="shared" si="14"/>
        <v/>
      </c>
      <c r="O293" t="str">
        <f>IF(M293="","",IF(COUNTIF(M$9:M293,M293)=1,MAX(O$8:O292)+1,""))</f>
        <v/>
      </c>
    </row>
    <row r="294" spans="1:15" x14ac:dyDescent="0.75">
      <c r="A294" s="24" t="str">
        <f>IF(N294="W",COUNTIF(N$9:N294,"W"),"")</f>
        <v/>
      </c>
      <c r="B294" s="25"/>
      <c r="C294" s="25"/>
      <c r="D294" s="26"/>
      <c r="E294" s="25"/>
      <c r="F294" s="27"/>
      <c r="G294" s="28"/>
      <c r="H294" s="28"/>
      <c r="I294" s="29" t="str">
        <f t="shared" si="12"/>
        <v/>
      </c>
      <c r="J294" s="30" t="str">
        <f t="shared" si="13"/>
        <v/>
      </c>
      <c r="K294" s="26"/>
      <c r="L294" s="24" t="str">
        <f>IF(N294="","",IF(N294="T","Título de capítulo",IF(OR(ISERROR(F294),ISERROR(G294),ISERROR(H294)),"Error en fórmula: pegá como valores",IF(AND(B294="",$C$6=""),"Falta sector",IF(M294="","Falta capítulo",IF(TRIM(E294)="","Falta unidad",IF(NOT((COUNTIF(Listas!$A$2:$A$40,E294)+COUNTIF(Listas!$D$2:$D$60,E294)&gt;0)),"Unidad no reconocida",IF(AND(F294&lt;&gt;"",NOT(ISNUMBER(F294))),"Cantidad no es número",IF(N(F294)&lt;=0,"Falta cantidad",IF(OR(AND(G294&lt;&gt;"",NOT(ISNUMBER(G294))),AND(H294&lt;&gt;"",NOT(ISNUMBER(H294)))),"Precio no es número",IF(N(G294)+N(H294)&lt;=0,"Falta precio","✓ OK")))))))))))</f>
        <v/>
      </c>
      <c r="M294" t="str">
        <f>IF(N294&lt;&gt;"W","",IF(TRIM(C294)&lt;&gt;"",TRIM(C294),IFERROR(LOOKUP(2,1/(N$9:N294="T"),D$9:D294),"")))</f>
        <v/>
      </c>
      <c r="N294" t="str">
        <f t="shared" si="14"/>
        <v/>
      </c>
      <c r="O294" t="str">
        <f>IF(M294="","",IF(COUNTIF(M$9:M294,M294)=1,MAX(O$8:O293)+1,""))</f>
        <v/>
      </c>
    </row>
    <row r="295" spans="1:15" x14ac:dyDescent="0.75">
      <c r="A295" s="24" t="str">
        <f>IF(N295="W",COUNTIF(N$9:N295,"W"),"")</f>
        <v/>
      </c>
      <c r="B295" s="25"/>
      <c r="C295" s="25"/>
      <c r="D295" s="26"/>
      <c r="E295" s="25"/>
      <c r="F295" s="27"/>
      <c r="G295" s="28"/>
      <c r="H295" s="28"/>
      <c r="I295" s="29" t="str">
        <f t="shared" si="12"/>
        <v/>
      </c>
      <c r="J295" s="30" t="str">
        <f t="shared" si="13"/>
        <v/>
      </c>
      <c r="K295" s="26"/>
      <c r="L295" s="24" t="str">
        <f>IF(N295="","",IF(N295="T","Título de capítulo",IF(OR(ISERROR(F295),ISERROR(G295),ISERROR(H295)),"Error en fórmula: pegá como valores",IF(AND(B295="",$C$6=""),"Falta sector",IF(M295="","Falta capítulo",IF(TRIM(E295)="","Falta unidad",IF(NOT((COUNTIF(Listas!$A$2:$A$40,E295)+COUNTIF(Listas!$D$2:$D$60,E295)&gt;0)),"Unidad no reconocida",IF(AND(F295&lt;&gt;"",NOT(ISNUMBER(F295))),"Cantidad no es número",IF(N(F295)&lt;=0,"Falta cantidad",IF(OR(AND(G295&lt;&gt;"",NOT(ISNUMBER(G295))),AND(H295&lt;&gt;"",NOT(ISNUMBER(H295)))),"Precio no es número",IF(N(G295)+N(H295)&lt;=0,"Falta precio","✓ OK")))))))))))</f>
        <v/>
      </c>
      <c r="M295" t="str">
        <f>IF(N295&lt;&gt;"W","",IF(TRIM(C295)&lt;&gt;"",TRIM(C295),IFERROR(LOOKUP(2,1/(N$9:N295="T"),D$9:D295),"")))</f>
        <v/>
      </c>
      <c r="N295" t="str">
        <f t="shared" si="14"/>
        <v/>
      </c>
      <c r="O295" t="str">
        <f>IF(M295="","",IF(COUNTIF(M$9:M295,M295)=1,MAX(O$8:O294)+1,""))</f>
        <v/>
      </c>
    </row>
    <row r="296" spans="1:15" x14ac:dyDescent="0.75">
      <c r="A296" s="24" t="str">
        <f>IF(N296="W",COUNTIF(N$9:N296,"W"),"")</f>
        <v/>
      </c>
      <c r="B296" s="25"/>
      <c r="C296" s="25"/>
      <c r="D296" s="26"/>
      <c r="E296" s="25"/>
      <c r="F296" s="27"/>
      <c r="G296" s="28"/>
      <c r="H296" s="28"/>
      <c r="I296" s="29" t="str">
        <f t="shared" si="12"/>
        <v/>
      </c>
      <c r="J296" s="30" t="str">
        <f t="shared" si="13"/>
        <v/>
      </c>
      <c r="K296" s="26"/>
      <c r="L296" s="24" t="str">
        <f>IF(N296="","",IF(N296="T","Título de capítulo",IF(OR(ISERROR(F296),ISERROR(G296),ISERROR(H296)),"Error en fórmula: pegá como valores",IF(AND(B296="",$C$6=""),"Falta sector",IF(M296="","Falta capítulo",IF(TRIM(E296)="","Falta unidad",IF(NOT((COUNTIF(Listas!$A$2:$A$40,E296)+COUNTIF(Listas!$D$2:$D$60,E296)&gt;0)),"Unidad no reconocida",IF(AND(F296&lt;&gt;"",NOT(ISNUMBER(F296))),"Cantidad no es número",IF(N(F296)&lt;=0,"Falta cantidad",IF(OR(AND(G296&lt;&gt;"",NOT(ISNUMBER(G296))),AND(H296&lt;&gt;"",NOT(ISNUMBER(H296)))),"Precio no es número",IF(N(G296)+N(H296)&lt;=0,"Falta precio","✓ OK")))))))))))</f>
        <v/>
      </c>
      <c r="M296" t="str">
        <f>IF(N296&lt;&gt;"W","",IF(TRIM(C296)&lt;&gt;"",TRIM(C296),IFERROR(LOOKUP(2,1/(N$9:N296="T"),D$9:D296),"")))</f>
        <v/>
      </c>
      <c r="N296" t="str">
        <f t="shared" si="14"/>
        <v/>
      </c>
      <c r="O296" t="str">
        <f>IF(M296="","",IF(COUNTIF(M$9:M296,M296)=1,MAX(O$8:O295)+1,""))</f>
        <v/>
      </c>
    </row>
    <row r="297" spans="1:15" x14ac:dyDescent="0.75">
      <c r="A297" s="24" t="str">
        <f>IF(N297="W",COUNTIF(N$9:N297,"W"),"")</f>
        <v/>
      </c>
      <c r="B297" s="25"/>
      <c r="C297" s="25"/>
      <c r="D297" s="26"/>
      <c r="E297" s="25"/>
      <c r="F297" s="27"/>
      <c r="G297" s="28"/>
      <c r="H297" s="28"/>
      <c r="I297" s="29" t="str">
        <f t="shared" si="12"/>
        <v/>
      </c>
      <c r="J297" s="30" t="str">
        <f t="shared" si="13"/>
        <v/>
      </c>
      <c r="K297" s="26"/>
      <c r="L297" s="24" t="str">
        <f>IF(N297="","",IF(N297="T","Título de capítulo",IF(OR(ISERROR(F297),ISERROR(G297),ISERROR(H297)),"Error en fórmula: pegá como valores",IF(AND(B297="",$C$6=""),"Falta sector",IF(M297="","Falta capítulo",IF(TRIM(E297)="","Falta unidad",IF(NOT((COUNTIF(Listas!$A$2:$A$40,E297)+COUNTIF(Listas!$D$2:$D$60,E297)&gt;0)),"Unidad no reconocida",IF(AND(F297&lt;&gt;"",NOT(ISNUMBER(F297))),"Cantidad no es número",IF(N(F297)&lt;=0,"Falta cantidad",IF(OR(AND(G297&lt;&gt;"",NOT(ISNUMBER(G297))),AND(H297&lt;&gt;"",NOT(ISNUMBER(H297)))),"Precio no es número",IF(N(G297)+N(H297)&lt;=0,"Falta precio","✓ OK")))))))))))</f>
        <v/>
      </c>
      <c r="M297" t="str">
        <f>IF(N297&lt;&gt;"W","",IF(TRIM(C297)&lt;&gt;"",TRIM(C297),IFERROR(LOOKUP(2,1/(N$9:N297="T"),D$9:D297),"")))</f>
        <v/>
      </c>
      <c r="N297" t="str">
        <f t="shared" si="14"/>
        <v/>
      </c>
      <c r="O297" t="str">
        <f>IF(M297="","",IF(COUNTIF(M$9:M297,M297)=1,MAX(O$8:O296)+1,""))</f>
        <v/>
      </c>
    </row>
    <row r="298" spans="1:15" x14ac:dyDescent="0.75">
      <c r="A298" s="24" t="str">
        <f>IF(N298="W",COUNTIF(N$9:N298,"W"),"")</f>
        <v/>
      </c>
      <c r="B298" s="25"/>
      <c r="C298" s="25"/>
      <c r="D298" s="26"/>
      <c r="E298" s="25"/>
      <c r="F298" s="27"/>
      <c r="G298" s="28"/>
      <c r="H298" s="28"/>
      <c r="I298" s="29" t="str">
        <f t="shared" si="12"/>
        <v/>
      </c>
      <c r="J298" s="30" t="str">
        <f t="shared" si="13"/>
        <v/>
      </c>
      <c r="K298" s="26"/>
      <c r="L298" s="24" t="str">
        <f>IF(N298="","",IF(N298="T","Título de capítulo",IF(OR(ISERROR(F298),ISERROR(G298),ISERROR(H298)),"Error en fórmula: pegá como valores",IF(AND(B298="",$C$6=""),"Falta sector",IF(M298="","Falta capítulo",IF(TRIM(E298)="","Falta unidad",IF(NOT((COUNTIF(Listas!$A$2:$A$40,E298)+COUNTIF(Listas!$D$2:$D$60,E298)&gt;0)),"Unidad no reconocida",IF(AND(F298&lt;&gt;"",NOT(ISNUMBER(F298))),"Cantidad no es número",IF(N(F298)&lt;=0,"Falta cantidad",IF(OR(AND(G298&lt;&gt;"",NOT(ISNUMBER(G298))),AND(H298&lt;&gt;"",NOT(ISNUMBER(H298)))),"Precio no es número",IF(N(G298)+N(H298)&lt;=0,"Falta precio","✓ OK")))))))))))</f>
        <v/>
      </c>
      <c r="M298" t="str">
        <f>IF(N298&lt;&gt;"W","",IF(TRIM(C298)&lt;&gt;"",TRIM(C298),IFERROR(LOOKUP(2,1/(N$9:N298="T"),D$9:D298),"")))</f>
        <v/>
      </c>
      <c r="N298" t="str">
        <f t="shared" si="14"/>
        <v/>
      </c>
      <c r="O298" t="str">
        <f>IF(M298="","",IF(COUNTIF(M$9:M298,M298)=1,MAX(O$8:O297)+1,""))</f>
        <v/>
      </c>
    </row>
    <row r="299" spans="1:15" x14ac:dyDescent="0.75">
      <c r="A299" s="24" t="str">
        <f>IF(N299="W",COUNTIF(N$9:N299,"W"),"")</f>
        <v/>
      </c>
      <c r="B299" s="25"/>
      <c r="C299" s="25"/>
      <c r="D299" s="26"/>
      <c r="E299" s="25"/>
      <c r="F299" s="27"/>
      <c r="G299" s="28"/>
      <c r="H299" s="28"/>
      <c r="I299" s="29" t="str">
        <f t="shared" si="12"/>
        <v/>
      </c>
      <c r="J299" s="30" t="str">
        <f t="shared" si="13"/>
        <v/>
      </c>
      <c r="K299" s="26"/>
      <c r="L299" s="24" t="str">
        <f>IF(N299="","",IF(N299="T","Título de capítulo",IF(OR(ISERROR(F299),ISERROR(G299),ISERROR(H299)),"Error en fórmula: pegá como valores",IF(AND(B299="",$C$6=""),"Falta sector",IF(M299="","Falta capítulo",IF(TRIM(E299)="","Falta unidad",IF(NOT((COUNTIF(Listas!$A$2:$A$40,E299)+COUNTIF(Listas!$D$2:$D$60,E299)&gt;0)),"Unidad no reconocida",IF(AND(F299&lt;&gt;"",NOT(ISNUMBER(F299))),"Cantidad no es número",IF(N(F299)&lt;=0,"Falta cantidad",IF(OR(AND(G299&lt;&gt;"",NOT(ISNUMBER(G299))),AND(H299&lt;&gt;"",NOT(ISNUMBER(H299)))),"Precio no es número",IF(N(G299)+N(H299)&lt;=0,"Falta precio","✓ OK")))))))))))</f>
        <v/>
      </c>
      <c r="M299" t="str">
        <f>IF(N299&lt;&gt;"W","",IF(TRIM(C299)&lt;&gt;"",TRIM(C299),IFERROR(LOOKUP(2,1/(N$9:N299="T"),D$9:D299),"")))</f>
        <v/>
      </c>
      <c r="N299" t="str">
        <f t="shared" si="14"/>
        <v/>
      </c>
      <c r="O299" t="str">
        <f>IF(M299="","",IF(COUNTIF(M$9:M299,M299)=1,MAX(O$8:O298)+1,""))</f>
        <v/>
      </c>
    </row>
    <row r="300" spans="1:15" x14ac:dyDescent="0.75">
      <c r="A300" s="24" t="str">
        <f>IF(N300="W",COUNTIF(N$9:N300,"W"),"")</f>
        <v/>
      </c>
      <c r="B300" s="25"/>
      <c r="C300" s="25"/>
      <c r="D300" s="26"/>
      <c r="E300" s="25"/>
      <c r="F300" s="27"/>
      <c r="G300" s="28"/>
      <c r="H300" s="28"/>
      <c r="I300" s="29" t="str">
        <f t="shared" si="12"/>
        <v/>
      </c>
      <c r="J300" s="30" t="str">
        <f t="shared" si="13"/>
        <v/>
      </c>
      <c r="K300" s="26"/>
      <c r="L300" s="24" t="str">
        <f>IF(N300="","",IF(N300="T","Título de capítulo",IF(OR(ISERROR(F300),ISERROR(G300),ISERROR(H300)),"Error en fórmula: pegá como valores",IF(AND(B300="",$C$6=""),"Falta sector",IF(M300="","Falta capítulo",IF(TRIM(E300)="","Falta unidad",IF(NOT((COUNTIF(Listas!$A$2:$A$40,E300)+COUNTIF(Listas!$D$2:$D$60,E300)&gt;0)),"Unidad no reconocida",IF(AND(F300&lt;&gt;"",NOT(ISNUMBER(F300))),"Cantidad no es número",IF(N(F300)&lt;=0,"Falta cantidad",IF(OR(AND(G300&lt;&gt;"",NOT(ISNUMBER(G300))),AND(H300&lt;&gt;"",NOT(ISNUMBER(H300)))),"Precio no es número",IF(N(G300)+N(H300)&lt;=0,"Falta precio","✓ OK")))))))))))</f>
        <v/>
      </c>
      <c r="M300" t="str">
        <f>IF(N300&lt;&gt;"W","",IF(TRIM(C300)&lt;&gt;"",TRIM(C300),IFERROR(LOOKUP(2,1/(N$9:N300="T"),D$9:D300),"")))</f>
        <v/>
      </c>
      <c r="N300" t="str">
        <f t="shared" si="14"/>
        <v/>
      </c>
      <c r="O300" t="str">
        <f>IF(M300="","",IF(COUNTIF(M$9:M300,M300)=1,MAX(O$8:O299)+1,""))</f>
        <v/>
      </c>
    </row>
    <row r="301" spans="1:15" x14ac:dyDescent="0.75">
      <c r="A301" s="24" t="str">
        <f>IF(N301="W",COUNTIF(N$9:N301,"W"),"")</f>
        <v/>
      </c>
      <c r="B301" s="25"/>
      <c r="C301" s="25"/>
      <c r="D301" s="26"/>
      <c r="E301" s="25"/>
      <c r="F301" s="27"/>
      <c r="G301" s="28"/>
      <c r="H301" s="28"/>
      <c r="I301" s="29" t="str">
        <f t="shared" si="12"/>
        <v/>
      </c>
      <c r="J301" s="30" t="str">
        <f t="shared" si="13"/>
        <v/>
      </c>
      <c r="K301" s="26"/>
      <c r="L301" s="24" t="str">
        <f>IF(N301="","",IF(N301="T","Título de capítulo",IF(OR(ISERROR(F301),ISERROR(G301),ISERROR(H301)),"Error en fórmula: pegá como valores",IF(AND(B301="",$C$6=""),"Falta sector",IF(M301="","Falta capítulo",IF(TRIM(E301)="","Falta unidad",IF(NOT((COUNTIF(Listas!$A$2:$A$40,E301)+COUNTIF(Listas!$D$2:$D$60,E301)&gt;0)),"Unidad no reconocida",IF(AND(F301&lt;&gt;"",NOT(ISNUMBER(F301))),"Cantidad no es número",IF(N(F301)&lt;=0,"Falta cantidad",IF(OR(AND(G301&lt;&gt;"",NOT(ISNUMBER(G301))),AND(H301&lt;&gt;"",NOT(ISNUMBER(H301)))),"Precio no es número",IF(N(G301)+N(H301)&lt;=0,"Falta precio","✓ OK")))))))))))</f>
        <v/>
      </c>
      <c r="M301" t="str">
        <f>IF(N301&lt;&gt;"W","",IF(TRIM(C301)&lt;&gt;"",TRIM(C301),IFERROR(LOOKUP(2,1/(N$9:N301="T"),D$9:D301),"")))</f>
        <v/>
      </c>
      <c r="N301" t="str">
        <f t="shared" si="14"/>
        <v/>
      </c>
      <c r="O301" t="str">
        <f>IF(M301="","",IF(COUNTIF(M$9:M301,M301)=1,MAX(O$8:O300)+1,""))</f>
        <v/>
      </c>
    </row>
    <row r="302" spans="1:15" x14ac:dyDescent="0.75">
      <c r="A302" s="24" t="str">
        <f>IF(N302="W",COUNTIF(N$9:N302,"W"),"")</f>
        <v/>
      </c>
      <c r="B302" s="25"/>
      <c r="C302" s="25"/>
      <c r="D302" s="26"/>
      <c r="E302" s="25"/>
      <c r="F302" s="27"/>
      <c r="G302" s="28"/>
      <c r="H302" s="28"/>
      <c r="I302" s="29" t="str">
        <f t="shared" si="12"/>
        <v/>
      </c>
      <c r="J302" s="30" t="str">
        <f t="shared" si="13"/>
        <v/>
      </c>
      <c r="K302" s="26"/>
      <c r="L302" s="24" t="str">
        <f>IF(N302="","",IF(N302="T","Título de capítulo",IF(OR(ISERROR(F302),ISERROR(G302),ISERROR(H302)),"Error en fórmula: pegá como valores",IF(AND(B302="",$C$6=""),"Falta sector",IF(M302="","Falta capítulo",IF(TRIM(E302)="","Falta unidad",IF(NOT((COUNTIF(Listas!$A$2:$A$40,E302)+COUNTIF(Listas!$D$2:$D$60,E302)&gt;0)),"Unidad no reconocida",IF(AND(F302&lt;&gt;"",NOT(ISNUMBER(F302))),"Cantidad no es número",IF(N(F302)&lt;=0,"Falta cantidad",IF(OR(AND(G302&lt;&gt;"",NOT(ISNUMBER(G302))),AND(H302&lt;&gt;"",NOT(ISNUMBER(H302)))),"Precio no es número",IF(N(G302)+N(H302)&lt;=0,"Falta precio","✓ OK")))))))))))</f>
        <v/>
      </c>
      <c r="M302" t="str">
        <f>IF(N302&lt;&gt;"W","",IF(TRIM(C302)&lt;&gt;"",TRIM(C302),IFERROR(LOOKUP(2,1/(N$9:N302="T"),D$9:D302),"")))</f>
        <v/>
      </c>
      <c r="N302" t="str">
        <f t="shared" si="14"/>
        <v/>
      </c>
      <c r="O302" t="str">
        <f>IF(M302="","",IF(COUNTIF(M$9:M302,M302)=1,MAX(O$8:O301)+1,""))</f>
        <v/>
      </c>
    </row>
    <row r="303" spans="1:15" x14ac:dyDescent="0.75">
      <c r="A303" s="24" t="str">
        <f>IF(N303="W",COUNTIF(N$9:N303,"W"),"")</f>
        <v/>
      </c>
      <c r="B303" s="25"/>
      <c r="C303" s="25"/>
      <c r="D303" s="26"/>
      <c r="E303" s="25"/>
      <c r="F303" s="27"/>
      <c r="G303" s="28"/>
      <c r="H303" s="28"/>
      <c r="I303" s="29" t="str">
        <f t="shared" si="12"/>
        <v/>
      </c>
      <c r="J303" s="30" t="str">
        <f t="shared" si="13"/>
        <v/>
      </c>
      <c r="K303" s="26"/>
      <c r="L303" s="24" t="str">
        <f>IF(N303="","",IF(N303="T","Título de capítulo",IF(OR(ISERROR(F303),ISERROR(G303),ISERROR(H303)),"Error en fórmula: pegá como valores",IF(AND(B303="",$C$6=""),"Falta sector",IF(M303="","Falta capítulo",IF(TRIM(E303)="","Falta unidad",IF(NOT((COUNTIF(Listas!$A$2:$A$40,E303)+COUNTIF(Listas!$D$2:$D$60,E303)&gt;0)),"Unidad no reconocida",IF(AND(F303&lt;&gt;"",NOT(ISNUMBER(F303))),"Cantidad no es número",IF(N(F303)&lt;=0,"Falta cantidad",IF(OR(AND(G303&lt;&gt;"",NOT(ISNUMBER(G303))),AND(H303&lt;&gt;"",NOT(ISNUMBER(H303)))),"Precio no es número",IF(N(G303)+N(H303)&lt;=0,"Falta precio","✓ OK")))))))))))</f>
        <v/>
      </c>
      <c r="M303" t="str">
        <f>IF(N303&lt;&gt;"W","",IF(TRIM(C303)&lt;&gt;"",TRIM(C303),IFERROR(LOOKUP(2,1/(N$9:N303="T"),D$9:D303),"")))</f>
        <v/>
      </c>
      <c r="N303" t="str">
        <f t="shared" si="14"/>
        <v/>
      </c>
      <c r="O303" t="str">
        <f>IF(M303="","",IF(COUNTIF(M$9:M303,M303)=1,MAX(O$8:O302)+1,""))</f>
        <v/>
      </c>
    </row>
    <row r="304" spans="1:15" x14ac:dyDescent="0.75">
      <c r="A304" s="24" t="str">
        <f>IF(N304="W",COUNTIF(N$9:N304,"W"),"")</f>
        <v/>
      </c>
      <c r="B304" s="25"/>
      <c r="C304" s="25"/>
      <c r="D304" s="26"/>
      <c r="E304" s="25"/>
      <c r="F304" s="27"/>
      <c r="G304" s="28"/>
      <c r="H304" s="28"/>
      <c r="I304" s="29" t="str">
        <f t="shared" si="12"/>
        <v/>
      </c>
      <c r="J304" s="30" t="str">
        <f t="shared" si="13"/>
        <v/>
      </c>
      <c r="K304" s="26"/>
      <c r="L304" s="24" t="str">
        <f>IF(N304="","",IF(N304="T","Título de capítulo",IF(OR(ISERROR(F304),ISERROR(G304),ISERROR(H304)),"Error en fórmula: pegá como valores",IF(AND(B304="",$C$6=""),"Falta sector",IF(M304="","Falta capítulo",IF(TRIM(E304)="","Falta unidad",IF(NOT((COUNTIF(Listas!$A$2:$A$40,E304)+COUNTIF(Listas!$D$2:$D$60,E304)&gt;0)),"Unidad no reconocida",IF(AND(F304&lt;&gt;"",NOT(ISNUMBER(F304))),"Cantidad no es número",IF(N(F304)&lt;=0,"Falta cantidad",IF(OR(AND(G304&lt;&gt;"",NOT(ISNUMBER(G304))),AND(H304&lt;&gt;"",NOT(ISNUMBER(H304)))),"Precio no es número",IF(N(G304)+N(H304)&lt;=0,"Falta precio","✓ OK")))))))))))</f>
        <v/>
      </c>
      <c r="M304" t="str">
        <f>IF(N304&lt;&gt;"W","",IF(TRIM(C304)&lt;&gt;"",TRIM(C304),IFERROR(LOOKUP(2,1/(N$9:N304="T"),D$9:D304),"")))</f>
        <v/>
      </c>
      <c r="N304" t="str">
        <f t="shared" si="14"/>
        <v/>
      </c>
      <c r="O304" t="str">
        <f>IF(M304="","",IF(COUNTIF(M$9:M304,M304)=1,MAX(O$8:O303)+1,""))</f>
        <v/>
      </c>
    </row>
    <row r="305" spans="1:15" x14ac:dyDescent="0.75">
      <c r="A305" s="24" t="str">
        <f>IF(N305="W",COUNTIF(N$9:N305,"W"),"")</f>
        <v/>
      </c>
      <c r="B305" s="25"/>
      <c r="C305" s="25"/>
      <c r="D305" s="26"/>
      <c r="E305" s="25"/>
      <c r="F305" s="27"/>
      <c r="G305" s="28"/>
      <c r="H305" s="28"/>
      <c r="I305" s="29" t="str">
        <f t="shared" si="12"/>
        <v/>
      </c>
      <c r="J305" s="30" t="str">
        <f t="shared" si="13"/>
        <v/>
      </c>
      <c r="K305" s="26"/>
      <c r="L305" s="24" t="str">
        <f>IF(N305="","",IF(N305="T","Título de capítulo",IF(OR(ISERROR(F305),ISERROR(G305),ISERROR(H305)),"Error en fórmula: pegá como valores",IF(AND(B305="",$C$6=""),"Falta sector",IF(M305="","Falta capítulo",IF(TRIM(E305)="","Falta unidad",IF(NOT((COUNTIF(Listas!$A$2:$A$40,E305)+COUNTIF(Listas!$D$2:$D$60,E305)&gt;0)),"Unidad no reconocida",IF(AND(F305&lt;&gt;"",NOT(ISNUMBER(F305))),"Cantidad no es número",IF(N(F305)&lt;=0,"Falta cantidad",IF(OR(AND(G305&lt;&gt;"",NOT(ISNUMBER(G305))),AND(H305&lt;&gt;"",NOT(ISNUMBER(H305)))),"Precio no es número",IF(N(G305)+N(H305)&lt;=0,"Falta precio","✓ OK")))))))))))</f>
        <v/>
      </c>
      <c r="M305" t="str">
        <f>IF(N305&lt;&gt;"W","",IF(TRIM(C305)&lt;&gt;"",TRIM(C305),IFERROR(LOOKUP(2,1/(N$9:N305="T"),D$9:D305),"")))</f>
        <v/>
      </c>
      <c r="N305" t="str">
        <f t="shared" si="14"/>
        <v/>
      </c>
      <c r="O305" t="str">
        <f>IF(M305="","",IF(COUNTIF(M$9:M305,M305)=1,MAX(O$8:O304)+1,""))</f>
        <v/>
      </c>
    </row>
    <row r="306" spans="1:15" x14ac:dyDescent="0.75">
      <c r="A306" s="24" t="str">
        <f>IF(N306="W",COUNTIF(N$9:N306,"W"),"")</f>
        <v/>
      </c>
      <c r="B306" s="25"/>
      <c r="C306" s="25"/>
      <c r="D306" s="26"/>
      <c r="E306" s="25"/>
      <c r="F306" s="27"/>
      <c r="G306" s="28"/>
      <c r="H306" s="28"/>
      <c r="I306" s="29" t="str">
        <f t="shared" si="12"/>
        <v/>
      </c>
      <c r="J306" s="30" t="str">
        <f t="shared" si="13"/>
        <v/>
      </c>
      <c r="K306" s="26"/>
      <c r="L306" s="24" t="str">
        <f>IF(N306="","",IF(N306="T","Título de capítulo",IF(OR(ISERROR(F306),ISERROR(G306),ISERROR(H306)),"Error en fórmula: pegá como valores",IF(AND(B306="",$C$6=""),"Falta sector",IF(M306="","Falta capítulo",IF(TRIM(E306)="","Falta unidad",IF(NOT((COUNTIF(Listas!$A$2:$A$40,E306)+COUNTIF(Listas!$D$2:$D$60,E306)&gt;0)),"Unidad no reconocida",IF(AND(F306&lt;&gt;"",NOT(ISNUMBER(F306))),"Cantidad no es número",IF(N(F306)&lt;=0,"Falta cantidad",IF(OR(AND(G306&lt;&gt;"",NOT(ISNUMBER(G306))),AND(H306&lt;&gt;"",NOT(ISNUMBER(H306)))),"Precio no es número",IF(N(G306)+N(H306)&lt;=0,"Falta precio","✓ OK")))))))))))</f>
        <v/>
      </c>
      <c r="M306" t="str">
        <f>IF(N306&lt;&gt;"W","",IF(TRIM(C306)&lt;&gt;"",TRIM(C306),IFERROR(LOOKUP(2,1/(N$9:N306="T"),D$9:D306),"")))</f>
        <v/>
      </c>
      <c r="N306" t="str">
        <f t="shared" si="14"/>
        <v/>
      </c>
      <c r="O306" t="str">
        <f>IF(M306="","",IF(COUNTIF(M$9:M306,M306)=1,MAX(O$8:O305)+1,""))</f>
        <v/>
      </c>
    </row>
    <row r="307" spans="1:15" x14ac:dyDescent="0.75">
      <c r="A307" s="24" t="str">
        <f>IF(N307="W",COUNTIF(N$9:N307,"W"),"")</f>
        <v/>
      </c>
      <c r="B307" s="25"/>
      <c r="C307" s="25"/>
      <c r="D307" s="26"/>
      <c r="E307" s="25"/>
      <c r="F307" s="27"/>
      <c r="G307" s="28"/>
      <c r="H307" s="28"/>
      <c r="I307" s="29" t="str">
        <f t="shared" si="12"/>
        <v/>
      </c>
      <c r="J307" s="30" t="str">
        <f t="shared" si="13"/>
        <v/>
      </c>
      <c r="K307" s="26"/>
      <c r="L307" s="24" t="str">
        <f>IF(N307="","",IF(N307="T","Título de capítulo",IF(OR(ISERROR(F307),ISERROR(G307),ISERROR(H307)),"Error en fórmula: pegá como valores",IF(AND(B307="",$C$6=""),"Falta sector",IF(M307="","Falta capítulo",IF(TRIM(E307)="","Falta unidad",IF(NOT((COUNTIF(Listas!$A$2:$A$40,E307)+COUNTIF(Listas!$D$2:$D$60,E307)&gt;0)),"Unidad no reconocida",IF(AND(F307&lt;&gt;"",NOT(ISNUMBER(F307))),"Cantidad no es número",IF(N(F307)&lt;=0,"Falta cantidad",IF(OR(AND(G307&lt;&gt;"",NOT(ISNUMBER(G307))),AND(H307&lt;&gt;"",NOT(ISNUMBER(H307)))),"Precio no es número",IF(N(G307)+N(H307)&lt;=0,"Falta precio","✓ OK")))))))))))</f>
        <v/>
      </c>
      <c r="M307" t="str">
        <f>IF(N307&lt;&gt;"W","",IF(TRIM(C307)&lt;&gt;"",TRIM(C307),IFERROR(LOOKUP(2,1/(N$9:N307="T"),D$9:D307),"")))</f>
        <v/>
      </c>
      <c r="N307" t="str">
        <f t="shared" si="14"/>
        <v/>
      </c>
      <c r="O307" t="str">
        <f>IF(M307="","",IF(COUNTIF(M$9:M307,M307)=1,MAX(O$8:O306)+1,""))</f>
        <v/>
      </c>
    </row>
    <row r="308" spans="1:15" x14ac:dyDescent="0.75">
      <c r="A308" s="24" t="str">
        <f>IF(N308="W",COUNTIF(N$9:N308,"W"),"")</f>
        <v/>
      </c>
      <c r="B308" s="25"/>
      <c r="C308" s="25"/>
      <c r="D308" s="26"/>
      <c r="E308" s="25"/>
      <c r="F308" s="27"/>
      <c r="G308" s="28"/>
      <c r="H308" s="28"/>
      <c r="I308" s="29" t="str">
        <f t="shared" si="12"/>
        <v/>
      </c>
      <c r="J308" s="30" t="str">
        <f t="shared" si="13"/>
        <v/>
      </c>
      <c r="K308" s="26"/>
      <c r="L308" s="24" t="str">
        <f>IF(N308="","",IF(N308="T","Título de capítulo",IF(OR(ISERROR(F308),ISERROR(G308),ISERROR(H308)),"Error en fórmula: pegá como valores",IF(AND(B308="",$C$6=""),"Falta sector",IF(M308="","Falta capítulo",IF(TRIM(E308)="","Falta unidad",IF(NOT((COUNTIF(Listas!$A$2:$A$40,E308)+COUNTIF(Listas!$D$2:$D$60,E308)&gt;0)),"Unidad no reconocida",IF(AND(F308&lt;&gt;"",NOT(ISNUMBER(F308))),"Cantidad no es número",IF(N(F308)&lt;=0,"Falta cantidad",IF(OR(AND(G308&lt;&gt;"",NOT(ISNUMBER(G308))),AND(H308&lt;&gt;"",NOT(ISNUMBER(H308)))),"Precio no es número",IF(N(G308)+N(H308)&lt;=0,"Falta precio","✓ OK")))))))))))</f>
        <v/>
      </c>
      <c r="M308" t="str">
        <f>IF(N308&lt;&gt;"W","",IF(TRIM(C308)&lt;&gt;"",TRIM(C308),IFERROR(LOOKUP(2,1/(N$9:N308="T"),D$9:D308),"")))</f>
        <v/>
      </c>
      <c r="N308" t="str">
        <f t="shared" si="14"/>
        <v/>
      </c>
      <c r="O308" t="str">
        <f>IF(M308="","",IF(COUNTIF(M$9:M308,M308)=1,MAX(O$8:O307)+1,""))</f>
        <v/>
      </c>
    </row>
    <row r="309" spans="1:15" x14ac:dyDescent="0.75">
      <c r="A309" s="24" t="str">
        <f>IF(N309="W",COUNTIF(N$9:N309,"W"),"")</f>
        <v/>
      </c>
      <c r="B309" s="25"/>
      <c r="C309" s="25"/>
      <c r="D309" s="26"/>
      <c r="E309" s="25"/>
      <c r="F309" s="27"/>
      <c r="G309" s="28"/>
      <c r="H309" s="28"/>
      <c r="I309" s="29" t="str">
        <f t="shared" si="12"/>
        <v/>
      </c>
      <c r="J309" s="30" t="str">
        <f t="shared" si="13"/>
        <v/>
      </c>
      <c r="K309" s="26"/>
      <c r="L309" s="24" t="str">
        <f>IF(N309="","",IF(N309="T","Título de capítulo",IF(OR(ISERROR(F309),ISERROR(G309),ISERROR(H309)),"Error en fórmula: pegá como valores",IF(AND(B309="",$C$6=""),"Falta sector",IF(M309="","Falta capítulo",IF(TRIM(E309)="","Falta unidad",IF(NOT((COUNTIF(Listas!$A$2:$A$40,E309)+COUNTIF(Listas!$D$2:$D$60,E309)&gt;0)),"Unidad no reconocida",IF(AND(F309&lt;&gt;"",NOT(ISNUMBER(F309))),"Cantidad no es número",IF(N(F309)&lt;=0,"Falta cantidad",IF(OR(AND(G309&lt;&gt;"",NOT(ISNUMBER(G309))),AND(H309&lt;&gt;"",NOT(ISNUMBER(H309)))),"Precio no es número",IF(N(G309)+N(H309)&lt;=0,"Falta precio","✓ OK")))))))))))</f>
        <v/>
      </c>
      <c r="M309" t="str">
        <f>IF(N309&lt;&gt;"W","",IF(TRIM(C309)&lt;&gt;"",TRIM(C309),IFERROR(LOOKUP(2,1/(N$9:N309="T"),D$9:D309),"")))</f>
        <v/>
      </c>
      <c r="N309" t="str">
        <f t="shared" si="14"/>
        <v/>
      </c>
      <c r="O309" t="str">
        <f>IF(M309="","",IF(COUNTIF(M$9:M309,M309)=1,MAX(O$8:O308)+1,""))</f>
        <v/>
      </c>
    </row>
    <row r="310" spans="1:15" x14ac:dyDescent="0.75">
      <c r="A310" s="24" t="str">
        <f>IF(N310="W",COUNTIF(N$9:N310,"W"),"")</f>
        <v/>
      </c>
      <c r="B310" s="25"/>
      <c r="C310" s="25"/>
      <c r="D310" s="26"/>
      <c r="E310" s="25"/>
      <c r="F310" s="27"/>
      <c r="G310" s="28"/>
      <c r="H310" s="28"/>
      <c r="I310" s="29" t="str">
        <f t="shared" si="12"/>
        <v/>
      </c>
      <c r="J310" s="30" t="str">
        <f t="shared" si="13"/>
        <v/>
      </c>
      <c r="K310" s="26"/>
      <c r="L310" s="24" t="str">
        <f>IF(N310="","",IF(N310="T","Título de capítulo",IF(OR(ISERROR(F310),ISERROR(G310),ISERROR(H310)),"Error en fórmula: pegá como valores",IF(AND(B310="",$C$6=""),"Falta sector",IF(M310="","Falta capítulo",IF(TRIM(E310)="","Falta unidad",IF(NOT((COUNTIF(Listas!$A$2:$A$40,E310)+COUNTIF(Listas!$D$2:$D$60,E310)&gt;0)),"Unidad no reconocida",IF(AND(F310&lt;&gt;"",NOT(ISNUMBER(F310))),"Cantidad no es número",IF(N(F310)&lt;=0,"Falta cantidad",IF(OR(AND(G310&lt;&gt;"",NOT(ISNUMBER(G310))),AND(H310&lt;&gt;"",NOT(ISNUMBER(H310)))),"Precio no es número",IF(N(G310)+N(H310)&lt;=0,"Falta precio","✓ OK")))))))))))</f>
        <v/>
      </c>
      <c r="M310" t="str">
        <f>IF(N310&lt;&gt;"W","",IF(TRIM(C310)&lt;&gt;"",TRIM(C310),IFERROR(LOOKUP(2,1/(N$9:N310="T"),D$9:D310),"")))</f>
        <v/>
      </c>
      <c r="N310" t="str">
        <f t="shared" si="14"/>
        <v/>
      </c>
      <c r="O310" t="str">
        <f>IF(M310="","",IF(COUNTIF(M$9:M310,M310)=1,MAX(O$8:O309)+1,""))</f>
        <v/>
      </c>
    </row>
    <row r="311" spans="1:15" x14ac:dyDescent="0.75">
      <c r="A311" s="24" t="str">
        <f>IF(N311="W",COUNTIF(N$9:N311,"W"),"")</f>
        <v/>
      </c>
      <c r="B311" s="25"/>
      <c r="C311" s="25"/>
      <c r="D311" s="26"/>
      <c r="E311" s="25"/>
      <c r="F311" s="27"/>
      <c r="G311" s="28"/>
      <c r="H311" s="28"/>
      <c r="I311" s="29" t="str">
        <f t="shared" si="12"/>
        <v/>
      </c>
      <c r="J311" s="30" t="str">
        <f t="shared" si="13"/>
        <v/>
      </c>
      <c r="K311" s="26"/>
      <c r="L311" s="24" t="str">
        <f>IF(N311="","",IF(N311="T","Título de capítulo",IF(OR(ISERROR(F311),ISERROR(G311),ISERROR(H311)),"Error en fórmula: pegá como valores",IF(AND(B311="",$C$6=""),"Falta sector",IF(M311="","Falta capítulo",IF(TRIM(E311)="","Falta unidad",IF(NOT((COUNTIF(Listas!$A$2:$A$40,E311)+COUNTIF(Listas!$D$2:$D$60,E311)&gt;0)),"Unidad no reconocida",IF(AND(F311&lt;&gt;"",NOT(ISNUMBER(F311))),"Cantidad no es número",IF(N(F311)&lt;=0,"Falta cantidad",IF(OR(AND(G311&lt;&gt;"",NOT(ISNUMBER(G311))),AND(H311&lt;&gt;"",NOT(ISNUMBER(H311)))),"Precio no es número",IF(N(G311)+N(H311)&lt;=0,"Falta precio","✓ OK")))))))))))</f>
        <v/>
      </c>
      <c r="M311" t="str">
        <f>IF(N311&lt;&gt;"W","",IF(TRIM(C311)&lt;&gt;"",TRIM(C311),IFERROR(LOOKUP(2,1/(N$9:N311="T"),D$9:D311),"")))</f>
        <v/>
      </c>
      <c r="N311" t="str">
        <f t="shared" si="14"/>
        <v/>
      </c>
      <c r="O311" t="str">
        <f>IF(M311="","",IF(COUNTIF(M$9:M311,M311)=1,MAX(O$8:O310)+1,""))</f>
        <v/>
      </c>
    </row>
    <row r="312" spans="1:15" x14ac:dyDescent="0.75">
      <c r="A312" s="24" t="str">
        <f>IF(N312="W",COUNTIF(N$9:N312,"W"),"")</f>
        <v/>
      </c>
      <c r="B312" s="25"/>
      <c r="C312" s="25"/>
      <c r="D312" s="26"/>
      <c r="E312" s="25"/>
      <c r="F312" s="27"/>
      <c r="G312" s="28"/>
      <c r="H312" s="28"/>
      <c r="I312" s="29" t="str">
        <f t="shared" si="12"/>
        <v/>
      </c>
      <c r="J312" s="30" t="str">
        <f t="shared" si="13"/>
        <v/>
      </c>
      <c r="K312" s="26"/>
      <c r="L312" s="24" t="str">
        <f>IF(N312="","",IF(N312="T","Título de capítulo",IF(OR(ISERROR(F312),ISERROR(G312),ISERROR(H312)),"Error en fórmula: pegá como valores",IF(AND(B312="",$C$6=""),"Falta sector",IF(M312="","Falta capítulo",IF(TRIM(E312)="","Falta unidad",IF(NOT((COUNTIF(Listas!$A$2:$A$40,E312)+COUNTIF(Listas!$D$2:$D$60,E312)&gt;0)),"Unidad no reconocida",IF(AND(F312&lt;&gt;"",NOT(ISNUMBER(F312))),"Cantidad no es número",IF(N(F312)&lt;=0,"Falta cantidad",IF(OR(AND(G312&lt;&gt;"",NOT(ISNUMBER(G312))),AND(H312&lt;&gt;"",NOT(ISNUMBER(H312)))),"Precio no es número",IF(N(G312)+N(H312)&lt;=0,"Falta precio","✓ OK")))))))))))</f>
        <v/>
      </c>
      <c r="M312" t="str">
        <f>IF(N312&lt;&gt;"W","",IF(TRIM(C312)&lt;&gt;"",TRIM(C312),IFERROR(LOOKUP(2,1/(N$9:N312="T"),D$9:D312),"")))</f>
        <v/>
      </c>
      <c r="N312" t="str">
        <f t="shared" si="14"/>
        <v/>
      </c>
      <c r="O312" t="str">
        <f>IF(M312="","",IF(COUNTIF(M$9:M312,M312)=1,MAX(O$8:O311)+1,""))</f>
        <v/>
      </c>
    </row>
    <row r="313" spans="1:15" x14ac:dyDescent="0.75">
      <c r="A313" s="24" t="str">
        <f>IF(N313="W",COUNTIF(N$9:N313,"W"),"")</f>
        <v/>
      </c>
      <c r="B313" s="25"/>
      <c r="C313" s="25"/>
      <c r="D313" s="26"/>
      <c r="E313" s="25"/>
      <c r="F313" s="27"/>
      <c r="G313" s="28"/>
      <c r="H313" s="28"/>
      <c r="I313" s="29" t="str">
        <f t="shared" si="12"/>
        <v/>
      </c>
      <c r="J313" s="30" t="str">
        <f t="shared" si="13"/>
        <v/>
      </c>
      <c r="K313" s="26"/>
      <c r="L313" s="24" t="str">
        <f>IF(N313="","",IF(N313="T","Título de capítulo",IF(OR(ISERROR(F313),ISERROR(G313),ISERROR(H313)),"Error en fórmula: pegá como valores",IF(AND(B313="",$C$6=""),"Falta sector",IF(M313="","Falta capítulo",IF(TRIM(E313)="","Falta unidad",IF(NOT((COUNTIF(Listas!$A$2:$A$40,E313)+COUNTIF(Listas!$D$2:$D$60,E313)&gt;0)),"Unidad no reconocida",IF(AND(F313&lt;&gt;"",NOT(ISNUMBER(F313))),"Cantidad no es número",IF(N(F313)&lt;=0,"Falta cantidad",IF(OR(AND(G313&lt;&gt;"",NOT(ISNUMBER(G313))),AND(H313&lt;&gt;"",NOT(ISNUMBER(H313)))),"Precio no es número",IF(N(G313)+N(H313)&lt;=0,"Falta precio","✓ OK")))))))))))</f>
        <v/>
      </c>
      <c r="M313" t="str">
        <f>IF(N313&lt;&gt;"W","",IF(TRIM(C313)&lt;&gt;"",TRIM(C313),IFERROR(LOOKUP(2,1/(N$9:N313="T"),D$9:D313),"")))</f>
        <v/>
      </c>
      <c r="N313" t="str">
        <f t="shared" si="14"/>
        <v/>
      </c>
      <c r="O313" t="str">
        <f>IF(M313="","",IF(COUNTIF(M$9:M313,M313)=1,MAX(O$8:O312)+1,""))</f>
        <v/>
      </c>
    </row>
    <row r="314" spans="1:15" x14ac:dyDescent="0.75">
      <c r="A314" s="24" t="str">
        <f>IF(N314="W",COUNTIF(N$9:N314,"W"),"")</f>
        <v/>
      </c>
      <c r="B314" s="25"/>
      <c r="C314" s="25"/>
      <c r="D314" s="26"/>
      <c r="E314" s="25"/>
      <c r="F314" s="27"/>
      <c r="G314" s="28"/>
      <c r="H314" s="28"/>
      <c r="I314" s="29" t="str">
        <f t="shared" si="12"/>
        <v/>
      </c>
      <c r="J314" s="30" t="str">
        <f t="shared" si="13"/>
        <v/>
      </c>
      <c r="K314" s="26"/>
      <c r="L314" s="24" t="str">
        <f>IF(N314="","",IF(N314="T","Título de capítulo",IF(OR(ISERROR(F314),ISERROR(G314),ISERROR(H314)),"Error en fórmula: pegá como valores",IF(AND(B314="",$C$6=""),"Falta sector",IF(M314="","Falta capítulo",IF(TRIM(E314)="","Falta unidad",IF(NOT((COUNTIF(Listas!$A$2:$A$40,E314)+COUNTIF(Listas!$D$2:$D$60,E314)&gt;0)),"Unidad no reconocida",IF(AND(F314&lt;&gt;"",NOT(ISNUMBER(F314))),"Cantidad no es número",IF(N(F314)&lt;=0,"Falta cantidad",IF(OR(AND(G314&lt;&gt;"",NOT(ISNUMBER(G314))),AND(H314&lt;&gt;"",NOT(ISNUMBER(H314)))),"Precio no es número",IF(N(G314)+N(H314)&lt;=0,"Falta precio","✓ OK")))))))))))</f>
        <v/>
      </c>
      <c r="M314" t="str">
        <f>IF(N314&lt;&gt;"W","",IF(TRIM(C314)&lt;&gt;"",TRIM(C314),IFERROR(LOOKUP(2,1/(N$9:N314="T"),D$9:D314),"")))</f>
        <v/>
      </c>
      <c r="N314" t="str">
        <f t="shared" si="14"/>
        <v/>
      </c>
      <c r="O314" t="str">
        <f>IF(M314="","",IF(COUNTIF(M$9:M314,M314)=1,MAX(O$8:O313)+1,""))</f>
        <v/>
      </c>
    </row>
    <row r="315" spans="1:15" x14ac:dyDescent="0.75">
      <c r="A315" s="24" t="str">
        <f>IF(N315="W",COUNTIF(N$9:N315,"W"),"")</f>
        <v/>
      </c>
      <c r="B315" s="25"/>
      <c r="C315" s="25"/>
      <c r="D315" s="26"/>
      <c r="E315" s="25"/>
      <c r="F315" s="27"/>
      <c r="G315" s="28"/>
      <c r="H315" s="28"/>
      <c r="I315" s="29" t="str">
        <f t="shared" si="12"/>
        <v/>
      </c>
      <c r="J315" s="30" t="str">
        <f t="shared" si="13"/>
        <v/>
      </c>
      <c r="K315" s="26"/>
      <c r="L315" s="24" t="str">
        <f>IF(N315="","",IF(N315="T","Título de capítulo",IF(OR(ISERROR(F315),ISERROR(G315),ISERROR(H315)),"Error en fórmula: pegá como valores",IF(AND(B315="",$C$6=""),"Falta sector",IF(M315="","Falta capítulo",IF(TRIM(E315)="","Falta unidad",IF(NOT((COUNTIF(Listas!$A$2:$A$40,E315)+COUNTIF(Listas!$D$2:$D$60,E315)&gt;0)),"Unidad no reconocida",IF(AND(F315&lt;&gt;"",NOT(ISNUMBER(F315))),"Cantidad no es número",IF(N(F315)&lt;=0,"Falta cantidad",IF(OR(AND(G315&lt;&gt;"",NOT(ISNUMBER(G315))),AND(H315&lt;&gt;"",NOT(ISNUMBER(H315)))),"Precio no es número",IF(N(G315)+N(H315)&lt;=0,"Falta precio","✓ OK")))))))))))</f>
        <v/>
      </c>
      <c r="M315" t="str">
        <f>IF(N315&lt;&gt;"W","",IF(TRIM(C315)&lt;&gt;"",TRIM(C315),IFERROR(LOOKUP(2,1/(N$9:N315="T"),D$9:D315),"")))</f>
        <v/>
      </c>
      <c r="N315" t="str">
        <f t="shared" si="14"/>
        <v/>
      </c>
      <c r="O315" t="str">
        <f>IF(M315="","",IF(COUNTIF(M$9:M315,M315)=1,MAX(O$8:O314)+1,""))</f>
        <v/>
      </c>
    </row>
    <row r="316" spans="1:15" x14ac:dyDescent="0.75">
      <c r="A316" s="24" t="str">
        <f>IF(N316="W",COUNTIF(N$9:N316,"W"),"")</f>
        <v/>
      </c>
      <c r="B316" s="25"/>
      <c r="C316" s="25"/>
      <c r="D316" s="26"/>
      <c r="E316" s="25"/>
      <c r="F316" s="27"/>
      <c r="G316" s="28"/>
      <c r="H316" s="28"/>
      <c r="I316" s="29" t="str">
        <f t="shared" si="12"/>
        <v/>
      </c>
      <c r="J316" s="30" t="str">
        <f t="shared" si="13"/>
        <v/>
      </c>
      <c r="K316" s="26"/>
      <c r="L316" s="24" t="str">
        <f>IF(N316="","",IF(N316="T","Título de capítulo",IF(OR(ISERROR(F316),ISERROR(G316),ISERROR(H316)),"Error en fórmula: pegá como valores",IF(AND(B316="",$C$6=""),"Falta sector",IF(M316="","Falta capítulo",IF(TRIM(E316)="","Falta unidad",IF(NOT((COUNTIF(Listas!$A$2:$A$40,E316)+COUNTIF(Listas!$D$2:$D$60,E316)&gt;0)),"Unidad no reconocida",IF(AND(F316&lt;&gt;"",NOT(ISNUMBER(F316))),"Cantidad no es número",IF(N(F316)&lt;=0,"Falta cantidad",IF(OR(AND(G316&lt;&gt;"",NOT(ISNUMBER(G316))),AND(H316&lt;&gt;"",NOT(ISNUMBER(H316)))),"Precio no es número",IF(N(G316)+N(H316)&lt;=0,"Falta precio","✓ OK")))))))))))</f>
        <v/>
      </c>
      <c r="M316" t="str">
        <f>IF(N316&lt;&gt;"W","",IF(TRIM(C316)&lt;&gt;"",TRIM(C316),IFERROR(LOOKUP(2,1/(N$9:N316="T"),D$9:D316),"")))</f>
        <v/>
      </c>
      <c r="N316" t="str">
        <f t="shared" si="14"/>
        <v/>
      </c>
      <c r="O316" t="str">
        <f>IF(M316="","",IF(COUNTIF(M$9:M316,M316)=1,MAX(O$8:O315)+1,""))</f>
        <v/>
      </c>
    </row>
    <row r="317" spans="1:15" x14ac:dyDescent="0.75">
      <c r="A317" s="24" t="str">
        <f>IF(N317="W",COUNTIF(N$9:N317,"W"),"")</f>
        <v/>
      </c>
      <c r="B317" s="25"/>
      <c r="C317" s="25"/>
      <c r="D317" s="26"/>
      <c r="E317" s="25"/>
      <c r="F317" s="27"/>
      <c r="G317" s="28"/>
      <c r="H317" s="28"/>
      <c r="I317" s="29" t="str">
        <f t="shared" si="12"/>
        <v/>
      </c>
      <c r="J317" s="30" t="str">
        <f t="shared" si="13"/>
        <v/>
      </c>
      <c r="K317" s="26"/>
      <c r="L317" s="24" t="str">
        <f>IF(N317="","",IF(N317="T","Título de capítulo",IF(OR(ISERROR(F317),ISERROR(G317),ISERROR(H317)),"Error en fórmula: pegá como valores",IF(AND(B317="",$C$6=""),"Falta sector",IF(M317="","Falta capítulo",IF(TRIM(E317)="","Falta unidad",IF(NOT((COUNTIF(Listas!$A$2:$A$40,E317)+COUNTIF(Listas!$D$2:$D$60,E317)&gt;0)),"Unidad no reconocida",IF(AND(F317&lt;&gt;"",NOT(ISNUMBER(F317))),"Cantidad no es número",IF(N(F317)&lt;=0,"Falta cantidad",IF(OR(AND(G317&lt;&gt;"",NOT(ISNUMBER(G317))),AND(H317&lt;&gt;"",NOT(ISNUMBER(H317)))),"Precio no es número",IF(N(G317)+N(H317)&lt;=0,"Falta precio","✓ OK")))))))))))</f>
        <v/>
      </c>
      <c r="M317" t="str">
        <f>IF(N317&lt;&gt;"W","",IF(TRIM(C317)&lt;&gt;"",TRIM(C317),IFERROR(LOOKUP(2,1/(N$9:N317="T"),D$9:D317),"")))</f>
        <v/>
      </c>
      <c r="N317" t="str">
        <f t="shared" si="14"/>
        <v/>
      </c>
      <c r="O317" t="str">
        <f>IF(M317="","",IF(COUNTIF(M$9:M317,M317)=1,MAX(O$8:O316)+1,""))</f>
        <v/>
      </c>
    </row>
    <row r="318" spans="1:15" x14ac:dyDescent="0.75">
      <c r="A318" s="24" t="str">
        <f>IF(N318="W",COUNTIF(N$9:N318,"W"),"")</f>
        <v/>
      </c>
      <c r="B318" s="25"/>
      <c r="C318" s="25"/>
      <c r="D318" s="26"/>
      <c r="E318" s="25"/>
      <c r="F318" s="27"/>
      <c r="G318" s="28"/>
      <c r="H318" s="28"/>
      <c r="I318" s="29" t="str">
        <f t="shared" si="12"/>
        <v/>
      </c>
      <c r="J318" s="30" t="str">
        <f t="shared" si="13"/>
        <v/>
      </c>
      <c r="K318" s="26"/>
      <c r="L318" s="24" t="str">
        <f>IF(N318="","",IF(N318="T","Título de capítulo",IF(OR(ISERROR(F318),ISERROR(G318),ISERROR(H318)),"Error en fórmula: pegá como valores",IF(AND(B318="",$C$6=""),"Falta sector",IF(M318="","Falta capítulo",IF(TRIM(E318)="","Falta unidad",IF(NOT((COUNTIF(Listas!$A$2:$A$40,E318)+COUNTIF(Listas!$D$2:$D$60,E318)&gt;0)),"Unidad no reconocida",IF(AND(F318&lt;&gt;"",NOT(ISNUMBER(F318))),"Cantidad no es número",IF(N(F318)&lt;=0,"Falta cantidad",IF(OR(AND(G318&lt;&gt;"",NOT(ISNUMBER(G318))),AND(H318&lt;&gt;"",NOT(ISNUMBER(H318)))),"Precio no es número",IF(N(G318)+N(H318)&lt;=0,"Falta precio","✓ OK")))))))))))</f>
        <v/>
      </c>
      <c r="M318" t="str">
        <f>IF(N318&lt;&gt;"W","",IF(TRIM(C318)&lt;&gt;"",TRIM(C318),IFERROR(LOOKUP(2,1/(N$9:N318="T"),D$9:D318),"")))</f>
        <v/>
      </c>
      <c r="N318" t="str">
        <f t="shared" si="14"/>
        <v/>
      </c>
      <c r="O318" t="str">
        <f>IF(M318="","",IF(COUNTIF(M$9:M318,M318)=1,MAX(O$8:O317)+1,""))</f>
        <v/>
      </c>
    </row>
    <row r="319" spans="1:15" x14ac:dyDescent="0.75">
      <c r="A319" s="24" t="str">
        <f>IF(N319="W",COUNTIF(N$9:N319,"W"),"")</f>
        <v/>
      </c>
      <c r="B319" s="25"/>
      <c r="C319" s="25"/>
      <c r="D319" s="26"/>
      <c r="E319" s="25"/>
      <c r="F319" s="27"/>
      <c r="G319" s="28"/>
      <c r="H319" s="28"/>
      <c r="I319" s="29" t="str">
        <f t="shared" si="12"/>
        <v/>
      </c>
      <c r="J319" s="30" t="str">
        <f t="shared" si="13"/>
        <v/>
      </c>
      <c r="K319" s="26"/>
      <c r="L319" s="24" t="str">
        <f>IF(N319="","",IF(N319="T","Título de capítulo",IF(OR(ISERROR(F319),ISERROR(G319),ISERROR(H319)),"Error en fórmula: pegá como valores",IF(AND(B319="",$C$6=""),"Falta sector",IF(M319="","Falta capítulo",IF(TRIM(E319)="","Falta unidad",IF(NOT((COUNTIF(Listas!$A$2:$A$40,E319)+COUNTIF(Listas!$D$2:$D$60,E319)&gt;0)),"Unidad no reconocida",IF(AND(F319&lt;&gt;"",NOT(ISNUMBER(F319))),"Cantidad no es número",IF(N(F319)&lt;=0,"Falta cantidad",IF(OR(AND(G319&lt;&gt;"",NOT(ISNUMBER(G319))),AND(H319&lt;&gt;"",NOT(ISNUMBER(H319)))),"Precio no es número",IF(N(G319)+N(H319)&lt;=0,"Falta precio","✓ OK")))))))))))</f>
        <v/>
      </c>
      <c r="M319" t="str">
        <f>IF(N319&lt;&gt;"W","",IF(TRIM(C319)&lt;&gt;"",TRIM(C319),IFERROR(LOOKUP(2,1/(N$9:N319="T"),D$9:D319),"")))</f>
        <v/>
      </c>
      <c r="N319" t="str">
        <f t="shared" si="14"/>
        <v/>
      </c>
      <c r="O319" t="str">
        <f>IF(M319="","",IF(COUNTIF(M$9:M319,M319)=1,MAX(O$8:O318)+1,""))</f>
        <v/>
      </c>
    </row>
    <row r="320" spans="1:15" x14ac:dyDescent="0.75">
      <c r="A320" s="24" t="str">
        <f>IF(N320="W",COUNTIF(N$9:N320,"W"),"")</f>
        <v/>
      </c>
      <c r="B320" s="25"/>
      <c r="C320" s="25"/>
      <c r="D320" s="26"/>
      <c r="E320" s="25"/>
      <c r="F320" s="27"/>
      <c r="G320" s="28"/>
      <c r="H320" s="28"/>
      <c r="I320" s="29" t="str">
        <f t="shared" si="12"/>
        <v/>
      </c>
      <c r="J320" s="30" t="str">
        <f t="shared" si="13"/>
        <v/>
      </c>
      <c r="K320" s="26"/>
      <c r="L320" s="24" t="str">
        <f>IF(N320="","",IF(N320="T","Título de capítulo",IF(OR(ISERROR(F320),ISERROR(G320),ISERROR(H320)),"Error en fórmula: pegá como valores",IF(AND(B320="",$C$6=""),"Falta sector",IF(M320="","Falta capítulo",IF(TRIM(E320)="","Falta unidad",IF(NOT((COUNTIF(Listas!$A$2:$A$40,E320)+COUNTIF(Listas!$D$2:$D$60,E320)&gt;0)),"Unidad no reconocida",IF(AND(F320&lt;&gt;"",NOT(ISNUMBER(F320))),"Cantidad no es número",IF(N(F320)&lt;=0,"Falta cantidad",IF(OR(AND(G320&lt;&gt;"",NOT(ISNUMBER(G320))),AND(H320&lt;&gt;"",NOT(ISNUMBER(H320)))),"Precio no es número",IF(N(G320)+N(H320)&lt;=0,"Falta precio","✓ OK")))))))))))</f>
        <v/>
      </c>
      <c r="M320" t="str">
        <f>IF(N320&lt;&gt;"W","",IF(TRIM(C320)&lt;&gt;"",TRIM(C320),IFERROR(LOOKUP(2,1/(N$9:N320="T"),D$9:D320),"")))</f>
        <v/>
      </c>
      <c r="N320" t="str">
        <f t="shared" si="14"/>
        <v/>
      </c>
      <c r="O320" t="str">
        <f>IF(M320="","",IF(COUNTIF(M$9:M320,M320)=1,MAX(O$8:O319)+1,""))</f>
        <v/>
      </c>
    </row>
    <row r="321" spans="1:15" x14ac:dyDescent="0.75">
      <c r="A321" s="24" t="str">
        <f>IF(N321="W",COUNTIF(N$9:N321,"W"),"")</f>
        <v/>
      </c>
      <c r="B321" s="25"/>
      <c r="C321" s="25"/>
      <c r="D321" s="26"/>
      <c r="E321" s="25"/>
      <c r="F321" s="27"/>
      <c r="G321" s="28"/>
      <c r="H321" s="28"/>
      <c r="I321" s="29" t="str">
        <f t="shared" si="12"/>
        <v/>
      </c>
      <c r="J321" s="30" t="str">
        <f t="shared" si="13"/>
        <v/>
      </c>
      <c r="K321" s="26"/>
      <c r="L321" s="24" t="str">
        <f>IF(N321="","",IF(N321="T","Título de capítulo",IF(OR(ISERROR(F321),ISERROR(G321),ISERROR(H321)),"Error en fórmula: pegá como valores",IF(AND(B321="",$C$6=""),"Falta sector",IF(M321="","Falta capítulo",IF(TRIM(E321)="","Falta unidad",IF(NOT((COUNTIF(Listas!$A$2:$A$40,E321)+COUNTIF(Listas!$D$2:$D$60,E321)&gt;0)),"Unidad no reconocida",IF(AND(F321&lt;&gt;"",NOT(ISNUMBER(F321))),"Cantidad no es número",IF(N(F321)&lt;=0,"Falta cantidad",IF(OR(AND(G321&lt;&gt;"",NOT(ISNUMBER(G321))),AND(H321&lt;&gt;"",NOT(ISNUMBER(H321)))),"Precio no es número",IF(N(G321)+N(H321)&lt;=0,"Falta precio","✓ OK")))))))))))</f>
        <v/>
      </c>
      <c r="M321" t="str">
        <f>IF(N321&lt;&gt;"W","",IF(TRIM(C321)&lt;&gt;"",TRIM(C321),IFERROR(LOOKUP(2,1/(N$9:N321="T"),D$9:D321),"")))</f>
        <v/>
      </c>
      <c r="N321" t="str">
        <f t="shared" si="14"/>
        <v/>
      </c>
      <c r="O321" t="str">
        <f>IF(M321="","",IF(COUNTIF(M$9:M321,M321)=1,MAX(O$8:O320)+1,""))</f>
        <v/>
      </c>
    </row>
    <row r="322" spans="1:15" x14ac:dyDescent="0.75">
      <c r="A322" s="24" t="str">
        <f>IF(N322="W",COUNTIF(N$9:N322,"W"),"")</f>
        <v/>
      </c>
      <c r="B322" s="25"/>
      <c r="C322" s="25"/>
      <c r="D322" s="26"/>
      <c r="E322" s="25"/>
      <c r="F322" s="27"/>
      <c r="G322" s="28"/>
      <c r="H322" s="28"/>
      <c r="I322" s="29" t="str">
        <f t="shared" si="12"/>
        <v/>
      </c>
      <c r="J322" s="30" t="str">
        <f t="shared" si="13"/>
        <v/>
      </c>
      <c r="K322" s="26"/>
      <c r="L322" s="24" t="str">
        <f>IF(N322="","",IF(N322="T","Título de capítulo",IF(OR(ISERROR(F322),ISERROR(G322),ISERROR(H322)),"Error en fórmula: pegá como valores",IF(AND(B322="",$C$6=""),"Falta sector",IF(M322="","Falta capítulo",IF(TRIM(E322)="","Falta unidad",IF(NOT((COUNTIF(Listas!$A$2:$A$40,E322)+COUNTIF(Listas!$D$2:$D$60,E322)&gt;0)),"Unidad no reconocida",IF(AND(F322&lt;&gt;"",NOT(ISNUMBER(F322))),"Cantidad no es número",IF(N(F322)&lt;=0,"Falta cantidad",IF(OR(AND(G322&lt;&gt;"",NOT(ISNUMBER(G322))),AND(H322&lt;&gt;"",NOT(ISNUMBER(H322)))),"Precio no es número",IF(N(G322)+N(H322)&lt;=0,"Falta precio","✓ OK")))))))))))</f>
        <v/>
      </c>
      <c r="M322" t="str">
        <f>IF(N322&lt;&gt;"W","",IF(TRIM(C322)&lt;&gt;"",TRIM(C322),IFERROR(LOOKUP(2,1/(N$9:N322="T"),D$9:D322),"")))</f>
        <v/>
      </c>
      <c r="N322" t="str">
        <f t="shared" si="14"/>
        <v/>
      </c>
      <c r="O322" t="str">
        <f>IF(M322="","",IF(COUNTIF(M$9:M322,M322)=1,MAX(O$8:O321)+1,""))</f>
        <v/>
      </c>
    </row>
    <row r="323" spans="1:15" x14ac:dyDescent="0.75">
      <c r="A323" s="24" t="str">
        <f>IF(N323="W",COUNTIF(N$9:N323,"W"),"")</f>
        <v/>
      </c>
      <c r="B323" s="25"/>
      <c r="C323" s="25"/>
      <c r="D323" s="26"/>
      <c r="E323" s="25"/>
      <c r="F323" s="27"/>
      <c r="G323" s="28"/>
      <c r="H323" s="28"/>
      <c r="I323" s="29" t="str">
        <f t="shared" si="12"/>
        <v/>
      </c>
      <c r="J323" s="30" t="str">
        <f t="shared" si="13"/>
        <v/>
      </c>
      <c r="K323" s="26"/>
      <c r="L323" s="24" t="str">
        <f>IF(N323="","",IF(N323="T","Título de capítulo",IF(OR(ISERROR(F323),ISERROR(G323),ISERROR(H323)),"Error en fórmula: pegá como valores",IF(AND(B323="",$C$6=""),"Falta sector",IF(M323="","Falta capítulo",IF(TRIM(E323)="","Falta unidad",IF(NOT((COUNTIF(Listas!$A$2:$A$40,E323)+COUNTIF(Listas!$D$2:$D$60,E323)&gt;0)),"Unidad no reconocida",IF(AND(F323&lt;&gt;"",NOT(ISNUMBER(F323))),"Cantidad no es número",IF(N(F323)&lt;=0,"Falta cantidad",IF(OR(AND(G323&lt;&gt;"",NOT(ISNUMBER(G323))),AND(H323&lt;&gt;"",NOT(ISNUMBER(H323)))),"Precio no es número",IF(N(G323)+N(H323)&lt;=0,"Falta precio","✓ OK")))))))))))</f>
        <v/>
      </c>
      <c r="M323" t="str">
        <f>IF(N323&lt;&gt;"W","",IF(TRIM(C323)&lt;&gt;"",TRIM(C323),IFERROR(LOOKUP(2,1/(N$9:N323="T"),D$9:D323),"")))</f>
        <v/>
      </c>
      <c r="N323" t="str">
        <f t="shared" si="14"/>
        <v/>
      </c>
      <c r="O323" t="str">
        <f>IF(M323="","",IF(COUNTIF(M$9:M323,M323)=1,MAX(O$8:O322)+1,""))</f>
        <v/>
      </c>
    </row>
    <row r="324" spans="1:15" x14ac:dyDescent="0.75">
      <c r="A324" s="24" t="str">
        <f>IF(N324="W",COUNTIF(N$9:N324,"W"),"")</f>
        <v/>
      </c>
      <c r="B324" s="25"/>
      <c r="C324" s="25"/>
      <c r="D324" s="26"/>
      <c r="E324" s="25"/>
      <c r="F324" s="27"/>
      <c r="G324" s="28"/>
      <c r="H324" s="28"/>
      <c r="I324" s="29" t="str">
        <f t="shared" si="12"/>
        <v/>
      </c>
      <c r="J324" s="30" t="str">
        <f t="shared" si="13"/>
        <v/>
      </c>
      <c r="K324" s="26"/>
      <c r="L324" s="24" t="str">
        <f>IF(N324="","",IF(N324="T","Título de capítulo",IF(OR(ISERROR(F324),ISERROR(G324),ISERROR(H324)),"Error en fórmula: pegá como valores",IF(AND(B324="",$C$6=""),"Falta sector",IF(M324="","Falta capítulo",IF(TRIM(E324)="","Falta unidad",IF(NOT((COUNTIF(Listas!$A$2:$A$40,E324)+COUNTIF(Listas!$D$2:$D$60,E324)&gt;0)),"Unidad no reconocida",IF(AND(F324&lt;&gt;"",NOT(ISNUMBER(F324))),"Cantidad no es número",IF(N(F324)&lt;=0,"Falta cantidad",IF(OR(AND(G324&lt;&gt;"",NOT(ISNUMBER(G324))),AND(H324&lt;&gt;"",NOT(ISNUMBER(H324)))),"Precio no es número",IF(N(G324)+N(H324)&lt;=0,"Falta precio","✓ OK")))))))))))</f>
        <v/>
      </c>
      <c r="M324" t="str">
        <f>IF(N324&lt;&gt;"W","",IF(TRIM(C324)&lt;&gt;"",TRIM(C324),IFERROR(LOOKUP(2,1/(N$9:N324="T"),D$9:D324),"")))</f>
        <v/>
      </c>
      <c r="N324" t="str">
        <f t="shared" si="14"/>
        <v/>
      </c>
      <c r="O324" t="str">
        <f>IF(M324="","",IF(COUNTIF(M$9:M324,M324)=1,MAX(O$8:O323)+1,""))</f>
        <v/>
      </c>
    </row>
    <row r="325" spans="1:15" x14ac:dyDescent="0.75">
      <c r="A325" s="24" t="str">
        <f>IF(N325="W",COUNTIF(N$9:N325,"W"),"")</f>
        <v/>
      </c>
      <c r="B325" s="25"/>
      <c r="C325" s="25"/>
      <c r="D325" s="26"/>
      <c r="E325" s="25"/>
      <c r="F325" s="27"/>
      <c r="G325" s="28"/>
      <c r="H325" s="28"/>
      <c r="I325" s="29" t="str">
        <f t="shared" si="12"/>
        <v/>
      </c>
      <c r="J325" s="30" t="str">
        <f t="shared" si="13"/>
        <v/>
      </c>
      <c r="K325" s="26"/>
      <c r="L325" s="24" t="str">
        <f>IF(N325="","",IF(N325="T","Título de capítulo",IF(OR(ISERROR(F325),ISERROR(G325),ISERROR(H325)),"Error en fórmula: pegá como valores",IF(AND(B325="",$C$6=""),"Falta sector",IF(M325="","Falta capítulo",IF(TRIM(E325)="","Falta unidad",IF(NOT((COUNTIF(Listas!$A$2:$A$40,E325)+COUNTIF(Listas!$D$2:$D$60,E325)&gt;0)),"Unidad no reconocida",IF(AND(F325&lt;&gt;"",NOT(ISNUMBER(F325))),"Cantidad no es número",IF(N(F325)&lt;=0,"Falta cantidad",IF(OR(AND(G325&lt;&gt;"",NOT(ISNUMBER(G325))),AND(H325&lt;&gt;"",NOT(ISNUMBER(H325)))),"Precio no es número",IF(N(G325)+N(H325)&lt;=0,"Falta precio","✓ OK")))))))))))</f>
        <v/>
      </c>
      <c r="M325" t="str">
        <f>IF(N325&lt;&gt;"W","",IF(TRIM(C325)&lt;&gt;"",TRIM(C325),IFERROR(LOOKUP(2,1/(N$9:N325="T"),D$9:D325),"")))</f>
        <v/>
      </c>
      <c r="N325" t="str">
        <f t="shared" si="14"/>
        <v/>
      </c>
      <c r="O325" t="str">
        <f>IF(M325="","",IF(COUNTIF(M$9:M325,M325)=1,MAX(O$8:O324)+1,""))</f>
        <v/>
      </c>
    </row>
    <row r="326" spans="1:15" x14ac:dyDescent="0.75">
      <c r="A326" s="24" t="str">
        <f>IF(N326="W",COUNTIF(N$9:N326,"W"),"")</f>
        <v/>
      </c>
      <c r="B326" s="25"/>
      <c r="C326" s="25"/>
      <c r="D326" s="26"/>
      <c r="E326" s="25"/>
      <c r="F326" s="27"/>
      <c r="G326" s="28"/>
      <c r="H326" s="28"/>
      <c r="I326" s="29" t="str">
        <f t="shared" si="12"/>
        <v/>
      </c>
      <c r="J326" s="30" t="str">
        <f t="shared" si="13"/>
        <v/>
      </c>
      <c r="K326" s="26"/>
      <c r="L326" s="24" t="str">
        <f>IF(N326="","",IF(N326="T","Título de capítulo",IF(OR(ISERROR(F326),ISERROR(G326),ISERROR(H326)),"Error en fórmula: pegá como valores",IF(AND(B326="",$C$6=""),"Falta sector",IF(M326="","Falta capítulo",IF(TRIM(E326)="","Falta unidad",IF(NOT((COUNTIF(Listas!$A$2:$A$40,E326)+COUNTIF(Listas!$D$2:$D$60,E326)&gt;0)),"Unidad no reconocida",IF(AND(F326&lt;&gt;"",NOT(ISNUMBER(F326))),"Cantidad no es número",IF(N(F326)&lt;=0,"Falta cantidad",IF(OR(AND(G326&lt;&gt;"",NOT(ISNUMBER(G326))),AND(H326&lt;&gt;"",NOT(ISNUMBER(H326)))),"Precio no es número",IF(N(G326)+N(H326)&lt;=0,"Falta precio","✓ OK")))))))))))</f>
        <v/>
      </c>
      <c r="M326" t="str">
        <f>IF(N326&lt;&gt;"W","",IF(TRIM(C326)&lt;&gt;"",TRIM(C326),IFERROR(LOOKUP(2,1/(N$9:N326="T"),D$9:D326),"")))</f>
        <v/>
      </c>
      <c r="N326" t="str">
        <f t="shared" si="14"/>
        <v/>
      </c>
      <c r="O326" t="str">
        <f>IF(M326="","",IF(COUNTIF(M$9:M326,M326)=1,MAX(O$8:O325)+1,""))</f>
        <v/>
      </c>
    </row>
    <row r="327" spans="1:15" x14ac:dyDescent="0.75">
      <c r="A327" s="24" t="str">
        <f>IF(N327="W",COUNTIF(N$9:N327,"W"),"")</f>
        <v/>
      </c>
      <c r="B327" s="25"/>
      <c r="C327" s="25"/>
      <c r="D327" s="26"/>
      <c r="E327" s="25"/>
      <c r="F327" s="27"/>
      <c r="G327" s="28"/>
      <c r="H327" s="28"/>
      <c r="I327" s="29" t="str">
        <f t="shared" si="12"/>
        <v/>
      </c>
      <c r="J327" s="30" t="str">
        <f t="shared" si="13"/>
        <v/>
      </c>
      <c r="K327" s="26"/>
      <c r="L327" s="24" t="str">
        <f>IF(N327="","",IF(N327="T","Título de capítulo",IF(OR(ISERROR(F327),ISERROR(G327),ISERROR(H327)),"Error en fórmula: pegá como valores",IF(AND(B327="",$C$6=""),"Falta sector",IF(M327="","Falta capítulo",IF(TRIM(E327)="","Falta unidad",IF(NOT((COUNTIF(Listas!$A$2:$A$40,E327)+COUNTIF(Listas!$D$2:$D$60,E327)&gt;0)),"Unidad no reconocida",IF(AND(F327&lt;&gt;"",NOT(ISNUMBER(F327))),"Cantidad no es número",IF(N(F327)&lt;=0,"Falta cantidad",IF(OR(AND(G327&lt;&gt;"",NOT(ISNUMBER(G327))),AND(H327&lt;&gt;"",NOT(ISNUMBER(H327)))),"Precio no es número",IF(N(G327)+N(H327)&lt;=0,"Falta precio","✓ OK")))))))))))</f>
        <v/>
      </c>
      <c r="M327" t="str">
        <f>IF(N327&lt;&gt;"W","",IF(TRIM(C327)&lt;&gt;"",TRIM(C327),IFERROR(LOOKUP(2,1/(N$9:N327="T"),D$9:D327),"")))</f>
        <v/>
      </c>
      <c r="N327" t="str">
        <f t="shared" si="14"/>
        <v/>
      </c>
      <c r="O327" t="str">
        <f>IF(M327="","",IF(COUNTIF(M$9:M327,M327)=1,MAX(O$8:O326)+1,""))</f>
        <v/>
      </c>
    </row>
    <row r="328" spans="1:15" x14ac:dyDescent="0.75">
      <c r="A328" s="24" t="str">
        <f>IF(N328="W",COUNTIF(N$9:N328,"W"),"")</f>
        <v/>
      </c>
      <c r="B328" s="25"/>
      <c r="C328" s="25"/>
      <c r="D328" s="26"/>
      <c r="E328" s="25"/>
      <c r="F328" s="27"/>
      <c r="G328" s="28"/>
      <c r="H328" s="28"/>
      <c r="I328" s="29" t="str">
        <f t="shared" si="12"/>
        <v/>
      </c>
      <c r="J328" s="30" t="str">
        <f t="shared" si="13"/>
        <v/>
      </c>
      <c r="K328" s="26"/>
      <c r="L328" s="24" t="str">
        <f>IF(N328="","",IF(N328="T","Título de capítulo",IF(OR(ISERROR(F328),ISERROR(G328),ISERROR(H328)),"Error en fórmula: pegá como valores",IF(AND(B328="",$C$6=""),"Falta sector",IF(M328="","Falta capítulo",IF(TRIM(E328)="","Falta unidad",IF(NOT((COUNTIF(Listas!$A$2:$A$40,E328)+COUNTIF(Listas!$D$2:$D$60,E328)&gt;0)),"Unidad no reconocida",IF(AND(F328&lt;&gt;"",NOT(ISNUMBER(F328))),"Cantidad no es número",IF(N(F328)&lt;=0,"Falta cantidad",IF(OR(AND(G328&lt;&gt;"",NOT(ISNUMBER(G328))),AND(H328&lt;&gt;"",NOT(ISNUMBER(H328)))),"Precio no es número",IF(N(G328)+N(H328)&lt;=0,"Falta precio","✓ OK")))))))))))</f>
        <v/>
      </c>
      <c r="M328" t="str">
        <f>IF(N328&lt;&gt;"W","",IF(TRIM(C328)&lt;&gt;"",TRIM(C328),IFERROR(LOOKUP(2,1/(N$9:N328="T"),D$9:D328),"")))</f>
        <v/>
      </c>
      <c r="N328" t="str">
        <f t="shared" si="14"/>
        <v/>
      </c>
      <c r="O328" t="str">
        <f>IF(M328="","",IF(COUNTIF(M$9:M328,M328)=1,MAX(O$8:O327)+1,""))</f>
        <v/>
      </c>
    </row>
    <row r="329" spans="1:15" x14ac:dyDescent="0.75">
      <c r="A329" s="24" t="str">
        <f>IF(N329="W",COUNTIF(N$9:N329,"W"),"")</f>
        <v/>
      </c>
      <c r="B329" s="25"/>
      <c r="C329" s="25"/>
      <c r="D329" s="26"/>
      <c r="E329" s="25"/>
      <c r="F329" s="27"/>
      <c r="G329" s="28"/>
      <c r="H329" s="28"/>
      <c r="I329" s="29" t="str">
        <f t="shared" ref="I329:I392" si="15">IF(N329="W",IFERROR(N(G329)+N(H329),0),"")</f>
        <v/>
      </c>
      <c r="J329" s="30" t="str">
        <f t="shared" ref="J329:J392" si="16">IF(N329="W",IFERROR(N(F329)*I329,0),"")</f>
        <v/>
      </c>
      <c r="K329" s="26"/>
      <c r="L329" s="24" t="str">
        <f>IF(N329="","",IF(N329="T","Título de capítulo",IF(OR(ISERROR(F329),ISERROR(G329),ISERROR(H329)),"Error en fórmula: pegá como valores",IF(AND(B329="",$C$6=""),"Falta sector",IF(M329="","Falta capítulo",IF(TRIM(E329)="","Falta unidad",IF(NOT((COUNTIF(Listas!$A$2:$A$40,E329)+COUNTIF(Listas!$D$2:$D$60,E329)&gt;0)),"Unidad no reconocida",IF(AND(F329&lt;&gt;"",NOT(ISNUMBER(F329))),"Cantidad no es número",IF(N(F329)&lt;=0,"Falta cantidad",IF(OR(AND(G329&lt;&gt;"",NOT(ISNUMBER(G329))),AND(H329&lt;&gt;"",NOT(ISNUMBER(H329)))),"Precio no es número",IF(N(G329)+N(H329)&lt;=0,"Falta precio","✓ OK")))))))))))</f>
        <v/>
      </c>
      <c r="M329" t="str">
        <f>IF(N329&lt;&gt;"W","",IF(TRIM(C329)&lt;&gt;"",TRIM(C329),IFERROR(LOOKUP(2,1/(N$9:N329="T"),D$9:D329),"")))</f>
        <v/>
      </c>
      <c r="N329" t="str">
        <f t="shared" ref="N329:N392" si="17">IF(TRIM(D329)="","",IF(AND(TRIM(E329)="",IFERROR(N(F329),1)=0,IFERROR(N(G329)+N(H329),1)=0),"T","W"))</f>
        <v/>
      </c>
      <c r="O329" t="str">
        <f>IF(M329="","",IF(COUNTIF(M$9:M329,M329)=1,MAX(O$8:O328)+1,""))</f>
        <v/>
      </c>
    </row>
    <row r="330" spans="1:15" x14ac:dyDescent="0.75">
      <c r="A330" s="24" t="str">
        <f>IF(N330="W",COUNTIF(N$9:N330,"W"),"")</f>
        <v/>
      </c>
      <c r="B330" s="25"/>
      <c r="C330" s="25"/>
      <c r="D330" s="26"/>
      <c r="E330" s="25"/>
      <c r="F330" s="27"/>
      <c r="G330" s="28"/>
      <c r="H330" s="28"/>
      <c r="I330" s="29" t="str">
        <f t="shared" si="15"/>
        <v/>
      </c>
      <c r="J330" s="30" t="str">
        <f t="shared" si="16"/>
        <v/>
      </c>
      <c r="K330" s="26"/>
      <c r="L330" s="24" t="str">
        <f>IF(N330="","",IF(N330="T","Título de capítulo",IF(OR(ISERROR(F330),ISERROR(G330),ISERROR(H330)),"Error en fórmula: pegá como valores",IF(AND(B330="",$C$6=""),"Falta sector",IF(M330="","Falta capítulo",IF(TRIM(E330)="","Falta unidad",IF(NOT((COUNTIF(Listas!$A$2:$A$40,E330)+COUNTIF(Listas!$D$2:$D$60,E330)&gt;0)),"Unidad no reconocida",IF(AND(F330&lt;&gt;"",NOT(ISNUMBER(F330))),"Cantidad no es número",IF(N(F330)&lt;=0,"Falta cantidad",IF(OR(AND(G330&lt;&gt;"",NOT(ISNUMBER(G330))),AND(H330&lt;&gt;"",NOT(ISNUMBER(H330)))),"Precio no es número",IF(N(G330)+N(H330)&lt;=0,"Falta precio","✓ OK")))))))))))</f>
        <v/>
      </c>
      <c r="M330" t="str">
        <f>IF(N330&lt;&gt;"W","",IF(TRIM(C330)&lt;&gt;"",TRIM(C330),IFERROR(LOOKUP(2,1/(N$9:N330="T"),D$9:D330),"")))</f>
        <v/>
      </c>
      <c r="N330" t="str">
        <f t="shared" si="17"/>
        <v/>
      </c>
      <c r="O330" t="str">
        <f>IF(M330="","",IF(COUNTIF(M$9:M330,M330)=1,MAX(O$8:O329)+1,""))</f>
        <v/>
      </c>
    </row>
    <row r="331" spans="1:15" x14ac:dyDescent="0.75">
      <c r="A331" s="24" t="str">
        <f>IF(N331="W",COUNTIF(N$9:N331,"W"),"")</f>
        <v/>
      </c>
      <c r="B331" s="25"/>
      <c r="C331" s="25"/>
      <c r="D331" s="26"/>
      <c r="E331" s="25"/>
      <c r="F331" s="27"/>
      <c r="G331" s="28"/>
      <c r="H331" s="28"/>
      <c r="I331" s="29" t="str">
        <f t="shared" si="15"/>
        <v/>
      </c>
      <c r="J331" s="30" t="str">
        <f t="shared" si="16"/>
        <v/>
      </c>
      <c r="K331" s="26"/>
      <c r="L331" s="24" t="str">
        <f>IF(N331="","",IF(N331="T","Título de capítulo",IF(OR(ISERROR(F331),ISERROR(G331),ISERROR(H331)),"Error en fórmula: pegá como valores",IF(AND(B331="",$C$6=""),"Falta sector",IF(M331="","Falta capítulo",IF(TRIM(E331)="","Falta unidad",IF(NOT((COUNTIF(Listas!$A$2:$A$40,E331)+COUNTIF(Listas!$D$2:$D$60,E331)&gt;0)),"Unidad no reconocida",IF(AND(F331&lt;&gt;"",NOT(ISNUMBER(F331))),"Cantidad no es número",IF(N(F331)&lt;=0,"Falta cantidad",IF(OR(AND(G331&lt;&gt;"",NOT(ISNUMBER(G331))),AND(H331&lt;&gt;"",NOT(ISNUMBER(H331)))),"Precio no es número",IF(N(G331)+N(H331)&lt;=0,"Falta precio","✓ OK")))))))))))</f>
        <v/>
      </c>
      <c r="M331" t="str">
        <f>IF(N331&lt;&gt;"W","",IF(TRIM(C331)&lt;&gt;"",TRIM(C331),IFERROR(LOOKUP(2,1/(N$9:N331="T"),D$9:D331),"")))</f>
        <v/>
      </c>
      <c r="N331" t="str">
        <f t="shared" si="17"/>
        <v/>
      </c>
      <c r="O331" t="str">
        <f>IF(M331="","",IF(COUNTIF(M$9:M331,M331)=1,MAX(O$8:O330)+1,""))</f>
        <v/>
      </c>
    </row>
    <row r="332" spans="1:15" x14ac:dyDescent="0.75">
      <c r="A332" s="24" t="str">
        <f>IF(N332="W",COUNTIF(N$9:N332,"W"),"")</f>
        <v/>
      </c>
      <c r="B332" s="25"/>
      <c r="C332" s="25"/>
      <c r="D332" s="26"/>
      <c r="E332" s="25"/>
      <c r="F332" s="27"/>
      <c r="G332" s="28"/>
      <c r="H332" s="28"/>
      <c r="I332" s="29" t="str">
        <f t="shared" si="15"/>
        <v/>
      </c>
      <c r="J332" s="30" t="str">
        <f t="shared" si="16"/>
        <v/>
      </c>
      <c r="K332" s="26"/>
      <c r="L332" s="24" t="str">
        <f>IF(N332="","",IF(N332="T","Título de capítulo",IF(OR(ISERROR(F332),ISERROR(G332),ISERROR(H332)),"Error en fórmula: pegá como valores",IF(AND(B332="",$C$6=""),"Falta sector",IF(M332="","Falta capítulo",IF(TRIM(E332)="","Falta unidad",IF(NOT((COUNTIF(Listas!$A$2:$A$40,E332)+COUNTIF(Listas!$D$2:$D$60,E332)&gt;0)),"Unidad no reconocida",IF(AND(F332&lt;&gt;"",NOT(ISNUMBER(F332))),"Cantidad no es número",IF(N(F332)&lt;=0,"Falta cantidad",IF(OR(AND(G332&lt;&gt;"",NOT(ISNUMBER(G332))),AND(H332&lt;&gt;"",NOT(ISNUMBER(H332)))),"Precio no es número",IF(N(G332)+N(H332)&lt;=0,"Falta precio","✓ OK")))))))))))</f>
        <v/>
      </c>
      <c r="M332" t="str">
        <f>IF(N332&lt;&gt;"W","",IF(TRIM(C332)&lt;&gt;"",TRIM(C332),IFERROR(LOOKUP(2,1/(N$9:N332="T"),D$9:D332),"")))</f>
        <v/>
      </c>
      <c r="N332" t="str">
        <f t="shared" si="17"/>
        <v/>
      </c>
      <c r="O332" t="str">
        <f>IF(M332="","",IF(COUNTIF(M$9:M332,M332)=1,MAX(O$8:O331)+1,""))</f>
        <v/>
      </c>
    </row>
    <row r="333" spans="1:15" x14ac:dyDescent="0.75">
      <c r="A333" s="24" t="str">
        <f>IF(N333="W",COUNTIF(N$9:N333,"W"),"")</f>
        <v/>
      </c>
      <c r="B333" s="25"/>
      <c r="C333" s="25"/>
      <c r="D333" s="26"/>
      <c r="E333" s="25"/>
      <c r="F333" s="27"/>
      <c r="G333" s="28"/>
      <c r="H333" s="28"/>
      <c r="I333" s="29" t="str">
        <f t="shared" si="15"/>
        <v/>
      </c>
      <c r="J333" s="30" t="str">
        <f t="shared" si="16"/>
        <v/>
      </c>
      <c r="K333" s="26"/>
      <c r="L333" s="24" t="str">
        <f>IF(N333="","",IF(N333="T","Título de capítulo",IF(OR(ISERROR(F333),ISERROR(G333),ISERROR(H333)),"Error en fórmula: pegá como valores",IF(AND(B333="",$C$6=""),"Falta sector",IF(M333="","Falta capítulo",IF(TRIM(E333)="","Falta unidad",IF(NOT((COUNTIF(Listas!$A$2:$A$40,E333)+COUNTIF(Listas!$D$2:$D$60,E333)&gt;0)),"Unidad no reconocida",IF(AND(F333&lt;&gt;"",NOT(ISNUMBER(F333))),"Cantidad no es número",IF(N(F333)&lt;=0,"Falta cantidad",IF(OR(AND(G333&lt;&gt;"",NOT(ISNUMBER(G333))),AND(H333&lt;&gt;"",NOT(ISNUMBER(H333)))),"Precio no es número",IF(N(G333)+N(H333)&lt;=0,"Falta precio","✓ OK")))))))))))</f>
        <v/>
      </c>
      <c r="M333" t="str">
        <f>IF(N333&lt;&gt;"W","",IF(TRIM(C333)&lt;&gt;"",TRIM(C333),IFERROR(LOOKUP(2,1/(N$9:N333="T"),D$9:D333),"")))</f>
        <v/>
      </c>
      <c r="N333" t="str">
        <f t="shared" si="17"/>
        <v/>
      </c>
      <c r="O333" t="str">
        <f>IF(M333="","",IF(COUNTIF(M$9:M333,M333)=1,MAX(O$8:O332)+1,""))</f>
        <v/>
      </c>
    </row>
    <row r="334" spans="1:15" x14ac:dyDescent="0.75">
      <c r="A334" s="24" t="str">
        <f>IF(N334="W",COUNTIF(N$9:N334,"W"),"")</f>
        <v/>
      </c>
      <c r="B334" s="25"/>
      <c r="C334" s="25"/>
      <c r="D334" s="26"/>
      <c r="E334" s="25"/>
      <c r="F334" s="27"/>
      <c r="G334" s="28"/>
      <c r="H334" s="28"/>
      <c r="I334" s="29" t="str">
        <f t="shared" si="15"/>
        <v/>
      </c>
      <c r="J334" s="30" t="str">
        <f t="shared" si="16"/>
        <v/>
      </c>
      <c r="K334" s="26"/>
      <c r="L334" s="24" t="str">
        <f>IF(N334="","",IF(N334="T","Título de capítulo",IF(OR(ISERROR(F334),ISERROR(G334),ISERROR(H334)),"Error en fórmula: pegá como valores",IF(AND(B334="",$C$6=""),"Falta sector",IF(M334="","Falta capítulo",IF(TRIM(E334)="","Falta unidad",IF(NOT((COUNTIF(Listas!$A$2:$A$40,E334)+COUNTIF(Listas!$D$2:$D$60,E334)&gt;0)),"Unidad no reconocida",IF(AND(F334&lt;&gt;"",NOT(ISNUMBER(F334))),"Cantidad no es número",IF(N(F334)&lt;=0,"Falta cantidad",IF(OR(AND(G334&lt;&gt;"",NOT(ISNUMBER(G334))),AND(H334&lt;&gt;"",NOT(ISNUMBER(H334)))),"Precio no es número",IF(N(G334)+N(H334)&lt;=0,"Falta precio","✓ OK")))))))))))</f>
        <v/>
      </c>
      <c r="M334" t="str">
        <f>IF(N334&lt;&gt;"W","",IF(TRIM(C334)&lt;&gt;"",TRIM(C334),IFERROR(LOOKUP(2,1/(N$9:N334="T"),D$9:D334),"")))</f>
        <v/>
      </c>
      <c r="N334" t="str">
        <f t="shared" si="17"/>
        <v/>
      </c>
      <c r="O334" t="str">
        <f>IF(M334="","",IF(COUNTIF(M$9:M334,M334)=1,MAX(O$8:O333)+1,""))</f>
        <v/>
      </c>
    </row>
    <row r="335" spans="1:15" x14ac:dyDescent="0.75">
      <c r="A335" s="24" t="str">
        <f>IF(N335="W",COUNTIF(N$9:N335,"W"),"")</f>
        <v/>
      </c>
      <c r="B335" s="25"/>
      <c r="C335" s="25"/>
      <c r="D335" s="26"/>
      <c r="E335" s="25"/>
      <c r="F335" s="27"/>
      <c r="G335" s="28"/>
      <c r="H335" s="28"/>
      <c r="I335" s="29" t="str">
        <f t="shared" si="15"/>
        <v/>
      </c>
      <c r="J335" s="30" t="str">
        <f t="shared" si="16"/>
        <v/>
      </c>
      <c r="K335" s="26"/>
      <c r="L335" s="24" t="str">
        <f>IF(N335="","",IF(N335="T","Título de capítulo",IF(OR(ISERROR(F335),ISERROR(G335),ISERROR(H335)),"Error en fórmula: pegá como valores",IF(AND(B335="",$C$6=""),"Falta sector",IF(M335="","Falta capítulo",IF(TRIM(E335)="","Falta unidad",IF(NOT((COUNTIF(Listas!$A$2:$A$40,E335)+COUNTIF(Listas!$D$2:$D$60,E335)&gt;0)),"Unidad no reconocida",IF(AND(F335&lt;&gt;"",NOT(ISNUMBER(F335))),"Cantidad no es número",IF(N(F335)&lt;=0,"Falta cantidad",IF(OR(AND(G335&lt;&gt;"",NOT(ISNUMBER(G335))),AND(H335&lt;&gt;"",NOT(ISNUMBER(H335)))),"Precio no es número",IF(N(G335)+N(H335)&lt;=0,"Falta precio","✓ OK")))))))))))</f>
        <v/>
      </c>
      <c r="M335" t="str">
        <f>IF(N335&lt;&gt;"W","",IF(TRIM(C335)&lt;&gt;"",TRIM(C335),IFERROR(LOOKUP(2,1/(N$9:N335="T"),D$9:D335),"")))</f>
        <v/>
      </c>
      <c r="N335" t="str">
        <f t="shared" si="17"/>
        <v/>
      </c>
      <c r="O335" t="str">
        <f>IF(M335="","",IF(COUNTIF(M$9:M335,M335)=1,MAX(O$8:O334)+1,""))</f>
        <v/>
      </c>
    </row>
    <row r="336" spans="1:15" x14ac:dyDescent="0.75">
      <c r="A336" s="24" t="str">
        <f>IF(N336="W",COUNTIF(N$9:N336,"W"),"")</f>
        <v/>
      </c>
      <c r="B336" s="25"/>
      <c r="C336" s="25"/>
      <c r="D336" s="26"/>
      <c r="E336" s="25"/>
      <c r="F336" s="27"/>
      <c r="G336" s="28"/>
      <c r="H336" s="28"/>
      <c r="I336" s="29" t="str">
        <f t="shared" si="15"/>
        <v/>
      </c>
      <c r="J336" s="30" t="str">
        <f t="shared" si="16"/>
        <v/>
      </c>
      <c r="K336" s="26"/>
      <c r="L336" s="24" t="str">
        <f>IF(N336="","",IF(N336="T","Título de capítulo",IF(OR(ISERROR(F336),ISERROR(G336),ISERROR(H336)),"Error en fórmula: pegá como valores",IF(AND(B336="",$C$6=""),"Falta sector",IF(M336="","Falta capítulo",IF(TRIM(E336)="","Falta unidad",IF(NOT((COUNTIF(Listas!$A$2:$A$40,E336)+COUNTIF(Listas!$D$2:$D$60,E336)&gt;0)),"Unidad no reconocida",IF(AND(F336&lt;&gt;"",NOT(ISNUMBER(F336))),"Cantidad no es número",IF(N(F336)&lt;=0,"Falta cantidad",IF(OR(AND(G336&lt;&gt;"",NOT(ISNUMBER(G336))),AND(H336&lt;&gt;"",NOT(ISNUMBER(H336)))),"Precio no es número",IF(N(G336)+N(H336)&lt;=0,"Falta precio","✓ OK")))))))))))</f>
        <v/>
      </c>
      <c r="M336" t="str">
        <f>IF(N336&lt;&gt;"W","",IF(TRIM(C336)&lt;&gt;"",TRIM(C336),IFERROR(LOOKUP(2,1/(N$9:N336="T"),D$9:D336),"")))</f>
        <v/>
      </c>
      <c r="N336" t="str">
        <f t="shared" si="17"/>
        <v/>
      </c>
      <c r="O336" t="str">
        <f>IF(M336="","",IF(COUNTIF(M$9:M336,M336)=1,MAX(O$8:O335)+1,""))</f>
        <v/>
      </c>
    </row>
    <row r="337" spans="1:15" x14ac:dyDescent="0.75">
      <c r="A337" s="24" t="str">
        <f>IF(N337="W",COUNTIF(N$9:N337,"W"),"")</f>
        <v/>
      </c>
      <c r="B337" s="25"/>
      <c r="C337" s="25"/>
      <c r="D337" s="26"/>
      <c r="E337" s="25"/>
      <c r="F337" s="27"/>
      <c r="G337" s="28"/>
      <c r="H337" s="28"/>
      <c r="I337" s="29" t="str">
        <f t="shared" si="15"/>
        <v/>
      </c>
      <c r="J337" s="30" t="str">
        <f t="shared" si="16"/>
        <v/>
      </c>
      <c r="K337" s="26"/>
      <c r="L337" s="24" t="str">
        <f>IF(N337="","",IF(N337="T","Título de capítulo",IF(OR(ISERROR(F337),ISERROR(G337),ISERROR(H337)),"Error en fórmula: pegá como valores",IF(AND(B337="",$C$6=""),"Falta sector",IF(M337="","Falta capítulo",IF(TRIM(E337)="","Falta unidad",IF(NOT((COUNTIF(Listas!$A$2:$A$40,E337)+COUNTIF(Listas!$D$2:$D$60,E337)&gt;0)),"Unidad no reconocida",IF(AND(F337&lt;&gt;"",NOT(ISNUMBER(F337))),"Cantidad no es número",IF(N(F337)&lt;=0,"Falta cantidad",IF(OR(AND(G337&lt;&gt;"",NOT(ISNUMBER(G337))),AND(H337&lt;&gt;"",NOT(ISNUMBER(H337)))),"Precio no es número",IF(N(G337)+N(H337)&lt;=0,"Falta precio","✓ OK")))))))))))</f>
        <v/>
      </c>
      <c r="M337" t="str">
        <f>IF(N337&lt;&gt;"W","",IF(TRIM(C337)&lt;&gt;"",TRIM(C337),IFERROR(LOOKUP(2,1/(N$9:N337="T"),D$9:D337),"")))</f>
        <v/>
      </c>
      <c r="N337" t="str">
        <f t="shared" si="17"/>
        <v/>
      </c>
      <c r="O337" t="str">
        <f>IF(M337="","",IF(COUNTIF(M$9:M337,M337)=1,MAX(O$8:O336)+1,""))</f>
        <v/>
      </c>
    </row>
    <row r="338" spans="1:15" x14ac:dyDescent="0.75">
      <c r="A338" s="24" t="str">
        <f>IF(N338="W",COUNTIF(N$9:N338,"W"),"")</f>
        <v/>
      </c>
      <c r="B338" s="25"/>
      <c r="C338" s="25"/>
      <c r="D338" s="26"/>
      <c r="E338" s="25"/>
      <c r="F338" s="27"/>
      <c r="G338" s="28"/>
      <c r="H338" s="28"/>
      <c r="I338" s="29" t="str">
        <f t="shared" si="15"/>
        <v/>
      </c>
      <c r="J338" s="30" t="str">
        <f t="shared" si="16"/>
        <v/>
      </c>
      <c r="K338" s="26"/>
      <c r="L338" s="24" t="str">
        <f>IF(N338="","",IF(N338="T","Título de capítulo",IF(OR(ISERROR(F338),ISERROR(G338),ISERROR(H338)),"Error en fórmula: pegá como valores",IF(AND(B338="",$C$6=""),"Falta sector",IF(M338="","Falta capítulo",IF(TRIM(E338)="","Falta unidad",IF(NOT((COUNTIF(Listas!$A$2:$A$40,E338)+COUNTIF(Listas!$D$2:$D$60,E338)&gt;0)),"Unidad no reconocida",IF(AND(F338&lt;&gt;"",NOT(ISNUMBER(F338))),"Cantidad no es número",IF(N(F338)&lt;=0,"Falta cantidad",IF(OR(AND(G338&lt;&gt;"",NOT(ISNUMBER(G338))),AND(H338&lt;&gt;"",NOT(ISNUMBER(H338)))),"Precio no es número",IF(N(G338)+N(H338)&lt;=0,"Falta precio","✓ OK")))))))))))</f>
        <v/>
      </c>
      <c r="M338" t="str">
        <f>IF(N338&lt;&gt;"W","",IF(TRIM(C338)&lt;&gt;"",TRIM(C338),IFERROR(LOOKUP(2,1/(N$9:N338="T"),D$9:D338),"")))</f>
        <v/>
      </c>
      <c r="N338" t="str">
        <f t="shared" si="17"/>
        <v/>
      </c>
      <c r="O338" t="str">
        <f>IF(M338="","",IF(COUNTIF(M$9:M338,M338)=1,MAX(O$8:O337)+1,""))</f>
        <v/>
      </c>
    </row>
    <row r="339" spans="1:15" x14ac:dyDescent="0.75">
      <c r="A339" s="24" t="str">
        <f>IF(N339="W",COUNTIF(N$9:N339,"W"),"")</f>
        <v/>
      </c>
      <c r="B339" s="25"/>
      <c r="C339" s="25"/>
      <c r="D339" s="26"/>
      <c r="E339" s="25"/>
      <c r="F339" s="27"/>
      <c r="G339" s="28"/>
      <c r="H339" s="28"/>
      <c r="I339" s="29" t="str">
        <f t="shared" si="15"/>
        <v/>
      </c>
      <c r="J339" s="30" t="str">
        <f t="shared" si="16"/>
        <v/>
      </c>
      <c r="K339" s="26"/>
      <c r="L339" s="24" t="str">
        <f>IF(N339="","",IF(N339="T","Título de capítulo",IF(OR(ISERROR(F339),ISERROR(G339),ISERROR(H339)),"Error en fórmula: pegá como valores",IF(AND(B339="",$C$6=""),"Falta sector",IF(M339="","Falta capítulo",IF(TRIM(E339)="","Falta unidad",IF(NOT((COUNTIF(Listas!$A$2:$A$40,E339)+COUNTIF(Listas!$D$2:$D$60,E339)&gt;0)),"Unidad no reconocida",IF(AND(F339&lt;&gt;"",NOT(ISNUMBER(F339))),"Cantidad no es número",IF(N(F339)&lt;=0,"Falta cantidad",IF(OR(AND(G339&lt;&gt;"",NOT(ISNUMBER(G339))),AND(H339&lt;&gt;"",NOT(ISNUMBER(H339)))),"Precio no es número",IF(N(G339)+N(H339)&lt;=0,"Falta precio","✓ OK")))))))))))</f>
        <v/>
      </c>
      <c r="M339" t="str">
        <f>IF(N339&lt;&gt;"W","",IF(TRIM(C339)&lt;&gt;"",TRIM(C339),IFERROR(LOOKUP(2,1/(N$9:N339="T"),D$9:D339),"")))</f>
        <v/>
      </c>
      <c r="N339" t="str">
        <f t="shared" si="17"/>
        <v/>
      </c>
      <c r="O339" t="str">
        <f>IF(M339="","",IF(COUNTIF(M$9:M339,M339)=1,MAX(O$8:O338)+1,""))</f>
        <v/>
      </c>
    </row>
    <row r="340" spans="1:15" x14ac:dyDescent="0.75">
      <c r="A340" s="24" t="str">
        <f>IF(N340="W",COUNTIF(N$9:N340,"W"),"")</f>
        <v/>
      </c>
      <c r="B340" s="25"/>
      <c r="C340" s="25"/>
      <c r="D340" s="26"/>
      <c r="E340" s="25"/>
      <c r="F340" s="27"/>
      <c r="G340" s="28"/>
      <c r="H340" s="28"/>
      <c r="I340" s="29" t="str">
        <f t="shared" si="15"/>
        <v/>
      </c>
      <c r="J340" s="30" t="str">
        <f t="shared" si="16"/>
        <v/>
      </c>
      <c r="K340" s="26"/>
      <c r="L340" s="24" t="str">
        <f>IF(N340="","",IF(N340="T","Título de capítulo",IF(OR(ISERROR(F340),ISERROR(G340),ISERROR(H340)),"Error en fórmula: pegá como valores",IF(AND(B340="",$C$6=""),"Falta sector",IF(M340="","Falta capítulo",IF(TRIM(E340)="","Falta unidad",IF(NOT((COUNTIF(Listas!$A$2:$A$40,E340)+COUNTIF(Listas!$D$2:$D$60,E340)&gt;0)),"Unidad no reconocida",IF(AND(F340&lt;&gt;"",NOT(ISNUMBER(F340))),"Cantidad no es número",IF(N(F340)&lt;=0,"Falta cantidad",IF(OR(AND(G340&lt;&gt;"",NOT(ISNUMBER(G340))),AND(H340&lt;&gt;"",NOT(ISNUMBER(H340)))),"Precio no es número",IF(N(G340)+N(H340)&lt;=0,"Falta precio","✓ OK")))))))))))</f>
        <v/>
      </c>
      <c r="M340" t="str">
        <f>IF(N340&lt;&gt;"W","",IF(TRIM(C340)&lt;&gt;"",TRIM(C340),IFERROR(LOOKUP(2,1/(N$9:N340="T"),D$9:D340),"")))</f>
        <v/>
      </c>
      <c r="N340" t="str">
        <f t="shared" si="17"/>
        <v/>
      </c>
      <c r="O340" t="str">
        <f>IF(M340="","",IF(COUNTIF(M$9:M340,M340)=1,MAX(O$8:O339)+1,""))</f>
        <v/>
      </c>
    </row>
    <row r="341" spans="1:15" x14ac:dyDescent="0.75">
      <c r="A341" s="24" t="str">
        <f>IF(N341="W",COUNTIF(N$9:N341,"W"),"")</f>
        <v/>
      </c>
      <c r="B341" s="25"/>
      <c r="C341" s="25"/>
      <c r="D341" s="26"/>
      <c r="E341" s="25"/>
      <c r="F341" s="27"/>
      <c r="G341" s="28"/>
      <c r="H341" s="28"/>
      <c r="I341" s="29" t="str">
        <f t="shared" si="15"/>
        <v/>
      </c>
      <c r="J341" s="30" t="str">
        <f t="shared" si="16"/>
        <v/>
      </c>
      <c r="K341" s="26"/>
      <c r="L341" s="24" t="str">
        <f>IF(N341="","",IF(N341="T","Título de capítulo",IF(OR(ISERROR(F341),ISERROR(G341),ISERROR(H341)),"Error en fórmula: pegá como valores",IF(AND(B341="",$C$6=""),"Falta sector",IF(M341="","Falta capítulo",IF(TRIM(E341)="","Falta unidad",IF(NOT((COUNTIF(Listas!$A$2:$A$40,E341)+COUNTIF(Listas!$D$2:$D$60,E341)&gt;0)),"Unidad no reconocida",IF(AND(F341&lt;&gt;"",NOT(ISNUMBER(F341))),"Cantidad no es número",IF(N(F341)&lt;=0,"Falta cantidad",IF(OR(AND(G341&lt;&gt;"",NOT(ISNUMBER(G341))),AND(H341&lt;&gt;"",NOT(ISNUMBER(H341)))),"Precio no es número",IF(N(G341)+N(H341)&lt;=0,"Falta precio","✓ OK")))))))))))</f>
        <v/>
      </c>
      <c r="M341" t="str">
        <f>IF(N341&lt;&gt;"W","",IF(TRIM(C341)&lt;&gt;"",TRIM(C341),IFERROR(LOOKUP(2,1/(N$9:N341="T"),D$9:D341),"")))</f>
        <v/>
      </c>
      <c r="N341" t="str">
        <f t="shared" si="17"/>
        <v/>
      </c>
      <c r="O341" t="str">
        <f>IF(M341="","",IF(COUNTIF(M$9:M341,M341)=1,MAX(O$8:O340)+1,""))</f>
        <v/>
      </c>
    </row>
    <row r="342" spans="1:15" x14ac:dyDescent="0.75">
      <c r="A342" s="24" t="str">
        <f>IF(N342="W",COUNTIF(N$9:N342,"W"),"")</f>
        <v/>
      </c>
      <c r="B342" s="25"/>
      <c r="C342" s="25"/>
      <c r="D342" s="26"/>
      <c r="E342" s="25"/>
      <c r="F342" s="27"/>
      <c r="G342" s="28"/>
      <c r="H342" s="28"/>
      <c r="I342" s="29" t="str">
        <f t="shared" si="15"/>
        <v/>
      </c>
      <c r="J342" s="30" t="str">
        <f t="shared" si="16"/>
        <v/>
      </c>
      <c r="K342" s="26"/>
      <c r="L342" s="24" t="str">
        <f>IF(N342="","",IF(N342="T","Título de capítulo",IF(OR(ISERROR(F342),ISERROR(G342),ISERROR(H342)),"Error en fórmula: pegá como valores",IF(AND(B342="",$C$6=""),"Falta sector",IF(M342="","Falta capítulo",IF(TRIM(E342)="","Falta unidad",IF(NOT((COUNTIF(Listas!$A$2:$A$40,E342)+COUNTIF(Listas!$D$2:$D$60,E342)&gt;0)),"Unidad no reconocida",IF(AND(F342&lt;&gt;"",NOT(ISNUMBER(F342))),"Cantidad no es número",IF(N(F342)&lt;=0,"Falta cantidad",IF(OR(AND(G342&lt;&gt;"",NOT(ISNUMBER(G342))),AND(H342&lt;&gt;"",NOT(ISNUMBER(H342)))),"Precio no es número",IF(N(G342)+N(H342)&lt;=0,"Falta precio","✓ OK")))))))))))</f>
        <v/>
      </c>
      <c r="M342" t="str">
        <f>IF(N342&lt;&gt;"W","",IF(TRIM(C342)&lt;&gt;"",TRIM(C342),IFERROR(LOOKUP(2,1/(N$9:N342="T"),D$9:D342),"")))</f>
        <v/>
      </c>
      <c r="N342" t="str">
        <f t="shared" si="17"/>
        <v/>
      </c>
      <c r="O342" t="str">
        <f>IF(M342="","",IF(COUNTIF(M$9:M342,M342)=1,MAX(O$8:O341)+1,""))</f>
        <v/>
      </c>
    </row>
    <row r="343" spans="1:15" x14ac:dyDescent="0.75">
      <c r="A343" s="24" t="str">
        <f>IF(N343="W",COUNTIF(N$9:N343,"W"),"")</f>
        <v/>
      </c>
      <c r="B343" s="25"/>
      <c r="C343" s="25"/>
      <c r="D343" s="26"/>
      <c r="E343" s="25"/>
      <c r="F343" s="27"/>
      <c r="G343" s="28"/>
      <c r="H343" s="28"/>
      <c r="I343" s="29" t="str">
        <f t="shared" si="15"/>
        <v/>
      </c>
      <c r="J343" s="30" t="str">
        <f t="shared" si="16"/>
        <v/>
      </c>
      <c r="K343" s="26"/>
      <c r="L343" s="24" t="str">
        <f>IF(N343="","",IF(N343="T","Título de capítulo",IF(OR(ISERROR(F343),ISERROR(G343),ISERROR(H343)),"Error en fórmula: pegá como valores",IF(AND(B343="",$C$6=""),"Falta sector",IF(M343="","Falta capítulo",IF(TRIM(E343)="","Falta unidad",IF(NOT((COUNTIF(Listas!$A$2:$A$40,E343)+COUNTIF(Listas!$D$2:$D$60,E343)&gt;0)),"Unidad no reconocida",IF(AND(F343&lt;&gt;"",NOT(ISNUMBER(F343))),"Cantidad no es número",IF(N(F343)&lt;=0,"Falta cantidad",IF(OR(AND(G343&lt;&gt;"",NOT(ISNUMBER(G343))),AND(H343&lt;&gt;"",NOT(ISNUMBER(H343)))),"Precio no es número",IF(N(G343)+N(H343)&lt;=0,"Falta precio","✓ OK")))))))))))</f>
        <v/>
      </c>
      <c r="M343" t="str">
        <f>IF(N343&lt;&gt;"W","",IF(TRIM(C343)&lt;&gt;"",TRIM(C343),IFERROR(LOOKUP(2,1/(N$9:N343="T"),D$9:D343),"")))</f>
        <v/>
      </c>
      <c r="N343" t="str">
        <f t="shared" si="17"/>
        <v/>
      </c>
      <c r="O343" t="str">
        <f>IF(M343="","",IF(COUNTIF(M$9:M343,M343)=1,MAX(O$8:O342)+1,""))</f>
        <v/>
      </c>
    </row>
    <row r="344" spans="1:15" x14ac:dyDescent="0.75">
      <c r="A344" s="24" t="str">
        <f>IF(N344="W",COUNTIF(N$9:N344,"W"),"")</f>
        <v/>
      </c>
      <c r="B344" s="25"/>
      <c r="C344" s="25"/>
      <c r="D344" s="26"/>
      <c r="E344" s="25"/>
      <c r="F344" s="27"/>
      <c r="G344" s="28"/>
      <c r="H344" s="28"/>
      <c r="I344" s="29" t="str">
        <f t="shared" si="15"/>
        <v/>
      </c>
      <c r="J344" s="30" t="str">
        <f t="shared" si="16"/>
        <v/>
      </c>
      <c r="K344" s="26"/>
      <c r="L344" s="24" t="str">
        <f>IF(N344="","",IF(N344="T","Título de capítulo",IF(OR(ISERROR(F344),ISERROR(G344),ISERROR(H344)),"Error en fórmula: pegá como valores",IF(AND(B344="",$C$6=""),"Falta sector",IF(M344="","Falta capítulo",IF(TRIM(E344)="","Falta unidad",IF(NOT((COUNTIF(Listas!$A$2:$A$40,E344)+COUNTIF(Listas!$D$2:$D$60,E344)&gt;0)),"Unidad no reconocida",IF(AND(F344&lt;&gt;"",NOT(ISNUMBER(F344))),"Cantidad no es número",IF(N(F344)&lt;=0,"Falta cantidad",IF(OR(AND(G344&lt;&gt;"",NOT(ISNUMBER(G344))),AND(H344&lt;&gt;"",NOT(ISNUMBER(H344)))),"Precio no es número",IF(N(G344)+N(H344)&lt;=0,"Falta precio","✓ OK")))))))))))</f>
        <v/>
      </c>
      <c r="M344" t="str">
        <f>IF(N344&lt;&gt;"W","",IF(TRIM(C344)&lt;&gt;"",TRIM(C344),IFERROR(LOOKUP(2,1/(N$9:N344="T"),D$9:D344),"")))</f>
        <v/>
      </c>
      <c r="N344" t="str">
        <f t="shared" si="17"/>
        <v/>
      </c>
      <c r="O344" t="str">
        <f>IF(M344="","",IF(COUNTIF(M$9:M344,M344)=1,MAX(O$8:O343)+1,""))</f>
        <v/>
      </c>
    </row>
    <row r="345" spans="1:15" x14ac:dyDescent="0.75">
      <c r="A345" s="24" t="str">
        <f>IF(N345="W",COUNTIF(N$9:N345,"W"),"")</f>
        <v/>
      </c>
      <c r="B345" s="25"/>
      <c r="C345" s="25"/>
      <c r="D345" s="26"/>
      <c r="E345" s="25"/>
      <c r="F345" s="27"/>
      <c r="G345" s="28"/>
      <c r="H345" s="28"/>
      <c r="I345" s="29" t="str">
        <f t="shared" si="15"/>
        <v/>
      </c>
      <c r="J345" s="30" t="str">
        <f t="shared" si="16"/>
        <v/>
      </c>
      <c r="K345" s="26"/>
      <c r="L345" s="24" t="str">
        <f>IF(N345="","",IF(N345="T","Título de capítulo",IF(OR(ISERROR(F345),ISERROR(G345),ISERROR(H345)),"Error en fórmula: pegá como valores",IF(AND(B345="",$C$6=""),"Falta sector",IF(M345="","Falta capítulo",IF(TRIM(E345)="","Falta unidad",IF(NOT((COUNTIF(Listas!$A$2:$A$40,E345)+COUNTIF(Listas!$D$2:$D$60,E345)&gt;0)),"Unidad no reconocida",IF(AND(F345&lt;&gt;"",NOT(ISNUMBER(F345))),"Cantidad no es número",IF(N(F345)&lt;=0,"Falta cantidad",IF(OR(AND(G345&lt;&gt;"",NOT(ISNUMBER(G345))),AND(H345&lt;&gt;"",NOT(ISNUMBER(H345)))),"Precio no es número",IF(N(G345)+N(H345)&lt;=0,"Falta precio","✓ OK")))))))))))</f>
        <v/>
      </c>
      <c r="M345" t="str">
        <f>IF(N345&lt;&gt;"W","",IF(TRIM(C345)&lt;&gt;"",TRIM(C345),IFERROR(LOOKUP(2,1/(N$9:N345="T"),D$9:D345),"")))</f>
        <v/>
      </c>
      <c r="N345" t="str">
        <f t="shared" si="17"/>
        <v/>
      </c>
      <c r="O345" t="str">
        <f>IF(M345="","",IF(COUNTIF(M$9:M345,M345)=1,MAX(O$8:O344)+1,""))</f>
        <v/>
      </c>
    </row>
    <row r="346" spans="1:15" x14ac:dyDescent="0.75">
      <c r="A346" s="24" t="str">
        <f>IF(N346="W",COUNTIF(N$9:N346,"W"),"")</f>
        <v/>
      </c>
      <c r="B346" s="25"/>
      <c r="C346" s="25"/>
      <c r="D346" s="26"/>
      <c r="E346" s="25"/>
      <c r="F346" s="27"/>
      <c r="G346" s="28"/>
      <c r="H346" s="28"/>
      <c r="I346" s="29" t="str">
        <f t="shared" si="15"/>
        <v/>
      </c>
      <c r="J346" s="30" t="str">
        <f t="shared" si="16"/>
        <v/>
      </c>
      <c r="K346" s="26"/>
      <c r="L346" s="24" t="str">
        <f>IF(N346="","",IF(N346="T","Título de capítulo",IF(OR(ISERROR(F346),ISERROR(G346),ISERROR(H346)),"Error en fórmula: pegá como valores",IF(AND(B346="",$C$6=""),"Falta sector",IF(M346="","Falta capítulo",IF(TRIM(E346)="","Falta unidad",IF(NOT((COUNTIF(Listas!$A$2:$A$40,E346)+COUNTIF(Listas!$D$2:$D$60,E346)&gt;0)),"Unidad no reconocida",IF(AND(F346&lt;&gt;"",NOT(ISNUMBER(F346))),"Cantidad no es número",IF(N(F346)&lt;=0,"Falta cantidad",IF(OR(AND(G346&lt;&gt;"",NOT(ISNUMBER(G346))),AND(H346&lt;&gt;"",NOT(ISNUMBER(H346)))),"Precio no es número",IF(N(G346)+N(H346)&lt;=0,"Falta precio","✓ OK")))))))))))</f>
        <v/>
      </c>
      <c r="M346" t="str">
        <f>IF(N346&lt;&gt;"W","",IF(TRIM(C346)&lt;&gt;"",TRIM(C346),IFERROR(LOOKUP(2,1/(N$9:N346="T"),D$9:D346),"")))</f>
        <v/>
      </c>
      <c r="N346" t="str">
        <f t="shared" si="17"/>
        <v/>
      </c>
      <c r="O346" t="str">
        <f>IF(M346="","",IF(COUNTIF(M$9:M346,M346)=1,MAX(O$8:O345)+1,""))</f>
        <v/>
      </c>
    </row>
    <row r="347" spans="1:15" x14ac:dyDescent="0.75">
      <c r="A347" s="24" t="str">
        <f>IF(N347="W",COUNTIF(N$9:N347,"W"),"")</f>
        <v/>
      </c>
      <c r="B347" s="25"/>
      <c r="C347" s="25"/>
      <c r="D347" s="26"/>
      <c r="E347" s="25"/>
      <c r="F347" s="27"/>
      <c r="G347" s="28"/>
      <c r="H347" s="28"/>
      <c r="I347" s="29" t="str">
        <f t="shared" si="15"/>
        <v/>
      </c>
      <c r="J347" s="30" t="str">
        <f t="shared" si="16"/>
        <v/>
      </c>
      <c r="K347" s="26"/>
      <c r="L347" s="24" t="str">
        <f>IF(N347="","",IF(N347="T","Título de capítulo",IF(OR(ISERROR(F347),ISERROR(G347),ISERROR(H347)),"Error en fórmula: pegá como valores",IF(AND(B347="",$C$6=""),"Falta sector",IF(M347="","Falta capítulo",IF(TRIM(E347)="","Falta unidad",IF(NOT((COUNTIF(Listas!$A$2:$A$40,E347)+COUNTIF(Listas!$D$2:$D$60,E347)&gt;0)),"Unidad no reconocida",IF(AND(F347&lt;&gt;"",NOT(ISNUMBER(F347))),"Cantidad no es número",IF(N(F347)&lt;=0,"Falta cantidad",IF(OR(AND(G347&lt;&gt;"",NOT(ISNUMBER(G347))),AND(H347&lt;&gt;"",NOT(ISNUMBER(H347)))),"Precio no es número",IF(N(G347)+N(H347)&lt;=0,"Falta precio","✓ OK")))))))))))</f>
        <v/>
      </c>
      <c r="M347" t="str">
        <f>IF(N347&lt;&gt;"W","",IF(TRIM(C347)&lt;&gt;"",TRIM(C347),IFERROR(LOOKUP(2,1/(N$9:N347="T"),D$9:D347),"")))</f>
        <v/>
      </c>
      <c r="N347" t="str">
        <f t="shared" si="17"/>
        <v/>
      </c>
      <c r="O347" t="str">
        <f>IF(M347="","",IF(COUNTIF(M$9:M347,M347)=1,MAX(O$8:O346)+1,""))</f>
        <v/>
      </c>
    </row>
    <row r="348" spans="1:15" x14ac:dyDescent="0.75">
      <c r="A348" s="24" t="str">
        <f>IF(N348="W",COUNTIF(N$9:N348,"W"),"")</f>
        <v/>
      </c>
      <c r="B348" s="25"/>
      <c r="C348" s="25"/>
      <c r="D348" s="26"/>
      <c r="E348" s="25"/>
      <c r="F348" s="27"/>
      <c r="G348" s="28"/>
      <c r="H348" s="28"/>
      <c r="I348" s="29" t="str">
        <f t="shared" si="15"/>
        <v/>
      </c>
      <c r="J348" s="30" t="str">
        <f t="shared" si="16"/>
        <v/>
      </c>
      <c r="K348" s="26"/>
      <c r="L348" s="24" t="str">
        <f>IF(N348="","",IF(N348="T","Título de capítulo",IF(OR(ISERROR(F348),ISERROR(G348),ISERROR(H348)),"Error en fórmula: pegá como valores",IF(AND(B348="",$C$6=""),"Falta sector",IF(M348="","Falta capítulo",IF(TRIM(E348)="","Falta unidad",IF(NOT((COUNTIF(Listas!$A$2:$A$40,E348)+COUNTIF(Listas!$D$2:$D$60,E348)&gt;0)),"Unidad no reconocida",IF(AND(F348&lt;&gt;"",NOT(ISNUMBER(F348))),"Cantidad no es número",IF(N(F348)&lt;=0,"Falta cantidad",IF(OR(AND(G348&lt;&gt;"",NOT(ISNUMBER(G348))),AND(H348&lt;&gt;"",NOT(ISNUMBER(H348)))),"Precio no es número",IF(N(G348)+N(H348)&lt;=0,"Falta precio","✓ OK")))))))))))</f>
        <v/>
      </c>
      <c r="M348" t="str">
        <f>IF(N348&lt;&gt;"W","",IF(TRIM(C348)&lt;&gt;"",TRIM(C348),IFERROR(LOOKUP(2,1/(N$9:N348="T"),D$9:D348),"")))</f>
        <v/>
      </c>
      <c r="N348" t="str">
        <f t="shared" si="17"/>
        <v/>
      </c>
      <c r="O348" t="str">
        <f>IF(M348="","",IF(COUNTIF(M$9:M348,M348)=1,MAX(O$8:O347)+1,""))</f>
        <v/>
      </c>
    </row>
    <row r="349" spans="1:15" x14ac:dyDescent="0.75">
      <c r="A349" s="24" t="str">
        <f>IF(N349="W",COUNTIF(N$9:N349,"W"),"")</f>
        <v/>
      </c>
      <c r="B349" s="25"/>
      <c r="C349" s="25"/>
      <c r="D349" s="26"/>
      <c r="E349" s="25"/>
      <c r="F349" s="27"/>
      <c r="G349" s="28"/>
      <c r="H349" s="28"/>
      <c r="I349" s="29" t="str">
        <f t="shared" si="15"/>
        <v/>
      </c>
      <c r="J349" s="30" t="str">
        <f t="shared" si="16"/>
        <v/>
      </c>
      <c r="K349" s="26"/>
      <c r="L349" s="24" t="str">
        <f>IF(N349="","",IF(N349="T","Título de capítulo",IF(OR(ISERROR(F349),ISERROR(G349),ISERROR(H349)),"Error en fórmula: pegá como valores",IF(AND(B349="",$C$6=""),"Falta sector",IF(M349="","Falta capítulo",IF(TRIM(E349)="","Falta unidad",IF(NOT((COUNTIF(Listas!$A$2:$A$40,E349)+COUNTIF(Listas!$D$2:$D$60,E349)&gt;0)),"Unidad no reconocida",IF(AND(F349&lt;&gt;"",NOT(ISNUMBER(F349))),"Cantidad no es número",IF(N(F349)&lt;=0,"Falta cantidad",IF(OR(AND(G349&lt;&gt;"",NOT(ISNUMBER(G349))),AND(H349&lt;&gt;"",NOT(ISNUMBER(H349)))),"Precio no es número",IF(N(G349)+N(H349)&lt;=0,"Falta precio","✓ OK")))))))))))</f>
        <v/>
      </c>
      <c r="M349" t="str">
        <f>IF(N349&lt;&gt;"W","",IF(TRIM(C349)&lt;&gt;"",TRIM(C349),IFERROR(LOOKUP(2,1/(N$9:N349="T"),D$9:D349),"")))</f>
        <v/>
      </c>
      <c r="N349" t="str">
        <f t="shared" si="17"/>
        <v/>
      </c>
      <c r="O349" t="str">
        <f>IF(M349="","",IF(COUNTIF(M$9:M349,M349)=1,MAX(O$8:O348)+1,""))</f>
        <v/>
      </c>
    </row>
    <row r="350" spans="1:15" x14ac:dyDescent="0.75">
      <c r="A350" s="24" t="str">
        <f>IF(N350="W",COUNTIF(N$9:N350,"W"),"")</f>
        <v/>
      </c>
      <c r="B350" s="25"/>
      <c r="C350" s="25"/>
      <c r="D350" s="26"/>
      <c r="E350" s="25"/>
      <c r="F350" s="27"/>
      <c r="G350" s="28"/>
      <c r="H350" s="28"/>
      <c r="I350" s="29" t="str">
        <f t="shared" si="15"/>
        <v/>
      </c>
      <c r="J350" s="30" t="str">
        <f t="shared" si="16"/>
        <v/>
      </c>
      <c r="K350" s="26"/>
      <c r="L350" s="24" t="str">
        <f>IF(N350="","",IF(N350="T","Título de capítulo",IF(OR(ISERROR(F350),ISERROR(G350),ISERROR(H350)),"Error en fórmula: pegá como valores",IF(AND(B350="",$C$6=""),"Falta sector",IF(M350="","Falta capítulo",IF(TRIM(E350)="","Falta unidad",IF(NOT((COUNTIF(Listas!$A$2:$A$40,E350)+COUNTIF(Listas!$D$2:$D$60,E350)&gt;0)),"Unidad no reconocida",IF(AND(F350&lt;&gt;"",NOT(ISNUMBER(F350))),"Cantidad no es número",IF(N(F350)&lt;=0,"Falta cantidad",IF(OR(AND(G350&lt;&gt;"",NOT(ISNUMBER(G350))),AND(H350&lt;&gt;"",NOT(ISNUMBER(H350)))),"Precio no es número",IF(N(G350)+N(H350)&lt;=0,"Falta precio","✓ OK")))))))))))</f>
        <v/>
      </c>
      <c r="M350" t="str">
        <f>IF(N350&lt;&gt;"W","",IF(TRIM(C350)&lt;&gt;"",TRIM(C350),IFERROR(LOOKUP(2,1/(N$9:N350="T"),D$9:D350),"")))</f>
        <v/>
      </c>
      <c r="N350" t="str">
        <f t="shared" si="17"/>
        <v/>
      </c>
      <c r="O350" t="str">
        <f>IF(M350="","",IF(COUNTIF(M$9:M350,M350)=1,MAX(O$8:O349)+1,""))</f>
        <v/>
      </c>
    </row>
    <row r="351" spans="1:15" x14ac:dyDescent="0.75">
      <c r="A351" s="24" t="str">
        <f>IF(N351="W",COUNTIF(N$9:N351,"W"),"")</f>
        <v/>
      </c>
      <c r="B351" s="25"/>
      <c r="C351" s="25"/>
      <c r="D351" s="26"/>
      <c r="E351" s="25"/>
      <c r="F351" s="27"/>
      <c r="G351" s="28"/>
      <c r="H351" s="28"/>
      <c r="I351" s="29" t="str">
        <f t="shared" si="15"/>
        <v/>
      </c>
      <c r="J351" s="30" t="str">
        <f t="shared" si="16"/>
        <v/>
      </c>
      <c r="K351" s="26"/>
      <c r="L351" s="24" t="str">
        <f>IF(N351="","",IF(N351="T","Título de capítulo",IF(OR(ISERROR(F351),ISERROR(G351),ISERROR(H351)),"Error en fórmula: pegá como valores",IF(AND(B351="",$C$6=""),"Falta sector",IF(M351="","Falta capítulo",IF(TRIM(E351)="","Falta unidad",IF(NOT((COUNTIF(Listas!$A$2:$A$40,E351)+COUNTIF(Listas!$D$2:$D$60,E351)&gt;0)),"Unidad no reconocida",IF(AND(F351&lt;&gt;"",NOT(ISNUMBER(F351))),"Cantidad no es número",IF(N(F351)&lt;=0,"Falta cantidad",IF(OR(AND(G351&lt;&gt;"",NOT(ISNUMBER(G351))),AND(H351&lt;&gt;"",NOT(ISNUMBER(H351)))),"Precio no es número",IF(N(G351)+N(H351)&lt;=0,"Falta precio","✓ OK")))))))))))</f>
        <v/>
      </c>
      <c r="M351" t="str">
        <f>IF(N351&lt;&gt;"W","",IF(TRIM(C351)&lt;&gt;"",TRIM(C351),IFERROR(LOOKUP(2,1/(N$9:N351="T"),D$9:D351),"")))</f>
        <v/>
      </c>
      <c r="N351" t="str">
        <f t="shared" si="17"/>
        <v/>
      </c>
      <c r="O351" t="str">
        <f>IF(M351="","",IF(COUNTIF(M$9:M351,M351)=1,MAX(O$8:O350)+1,""))</f>
        <v/>
      </c>
    </row>
    <row r="352" spans="1:15" x14ac:dyDescent="0.75">
      <c r="A352" s="24" t="str">
        <f>IF(N352="W",COUNTIF(N$9:N352,"W"),"")</f>
        <v/>
      </c>
      <c r="B352" s="25"/>
      <c r="C352" s="25"/>
      <c r="D352" s="26"/>
      <c r="E352" s="25"/>
      <c r="F352" s="27"/>
      <c r="G352" s="28"/>
      <c r="H352" s="28"/>
      <c r="I352" s="29" t="str">
        <f t="shared" si="15"/>
        <v/>
      </c>
      <c r="J352" s="30" t="str">
        <f t="shared" si="16"/>
        <v/>
      </c>
      <c r="K352" s="26"/>
      <c r="L352" s="24" t="str">
        <f>IF(N352="","",IF(N352="T","Título de capítulo",IF(OR(ISERROR(F352),ISERROR(G352),ISERROR(H352)),"Error en fórmula: pegá como valores",IF(AND(B352="",$C$6=""),"Falta sector",IF(M352="","Falta capítulo",IF(TRIM(E352)="","Falta unidad",IF(NOT((COUNTIF(Listas!$A$2:$A$40,E352)+COUNTIF(Listas!$D$2:$D$60,E352)&gt;0)),"Unidad no reconocida",IF(AND(F352&lt;&gt;"",NOT(ISNUMBER(F352))),"Cantidad no es número",IF(N(F352)&lt;=0,"Falta cantidad",IF(OR(AND(G352&lt;&gt;"",NOT(ISNUMBER(G352))),AND(H352&lt;&gt;"",NOT(ISNUMBER(H352)))),"Precio no es número",IF(N(G352)+N(H352)&lt;=0,"Falta precio","✓ OK")))))))))))</f>
        <v/>
      </c>
      <c r="M352" t="str">
        <f>IF(N352&lt;&gt;"W","",IF(TRIM(C352)&lt;&gt;"",TRIM(C352),IFERROR(LOOKUP(2,1/(N$9:N352="T"),D$9:D352),"")))</f>
        <v/>
      </c>
      <c r="N352" t="str">
        <f t="shared" si="17"/>
        <v/>
      </c>
      <c r="O352" t="str">
        <f>IF(M352="","",IF(COUNTIF(M$9:M352,M352)=1,MAX(O$8:O351)+1,""))</f>
        <v/>
      </c>
    </row>
    <row r="353" spans="1:15" x14ac:dyDescent="0.75">
      <c r="A353" s="24" t="str">
        <f>IF(N353="W",COUNTIF(N$9:N353,"W"),"")</f>
        <v/>
      </c>
      <c r="B353" s="25"/>
      <c r="C353" s="25"/>
      <c r="D353" s="26"/>
      <c r="E353" s="25"/>
      <c r="F353" s="27"/>
      <c r="G353" s="28"/>
      <c r="H353" s="28"/>
      <c r="I353" s="29" t="str">
        <f t="shared" si="15"/>
        <v/>
      </c>
      <c r="J353" s="30" t="str">
        <f t="shared" si="16"/>
        <v/>
      </c>
      <c r="K353" s="26"/>
      <c r="L353" s="24" t="str">
        <f>IF(N353="","",IF(N353="T","Título de capítulo",IF(OR(ISERROR(F353),ISERROR(G353),ISERROR(H353)),"Error en fórmula: pegá como valores",IF(AND(B353="",$C$6=""),"Falta sector",IF(M353="","Falta capítulo",IF(TRIM(E353)="","Falta unidad",IF(NOT((COUNTIF(Listas!$A$2:$A$40,E353)+COUNTIF(Listas!$D$2:$D$60,E353)&gt;0)),"Unidad no reconocida",IF(AND(F353&lt;&gt;"",NOT(ISNUMBER(F353))),"Cantidad no es número",IF(N(F353)&lt;=0,"Falta cantidad",IF(OR(AND(G353&lt;&gt;"",NOT(ISNUMBER(G353))),AND(H353&lt;&gt;"",NOT(ISNUMBER(H353)))),"Precio no es número",IF(N(G353)+N(H353)&lt;=0,"Falta precio","✓ OK")))))))))))</f>
        <v/>
      </c>
      <c r="M353" t="str">
        <f>IF(N353&lt;&gt;"W","",IF(TRIM(C353)&lt;&gt;"",TRIM(C353),IFERROR(LOOKUP(2,1/(N$9:N353="T"),D$9:D353),"")))</f>
        <v/>
      </c>
      <c r="N353" t="str">
        <f t="shared" si="17"/>
        <v/>
      </c>
      <c r="O353" t="str">
        <f>IF(M353="","",IF(COUNTIF(M$9:M353,M353)=1,MAX(O$8:O352)+1,""))</f>
        <v/>
      </c>
    </row>
    <row r="354" spans="1:15" x14ac:dyDescent="0.75">
      <c r="A354" s="24" t="str">
        <f>IF(N354="W",COUNTIF(N$9:N354,"W"),"")</f>
        <v/>
      </c>
      <c r="B354" s="25"/>
      <c r="C354" s="25"/>
      <c r="D354" s="26"/>
      <c r="E354" s="25"/>
      <c r="F354" s="27"/>
      <c r="G354" s="28"/>
      <c r="H354" s="28"/>
      <c r="I354" s="29" t="str">
        <f t="shared" si="15"/>
        <v/>
      </c>
      <c r="J354" s="30" t="str">
        <f t="shared" si="16"/>
        <v/>
      </c>
      <c r="K354" s="26"/>
      <c r="L354" s="24" t="str">
        <f>IF(N354="","",IF(N354="T","Título de capítulo",IF(OR(ISERROR(F354),ISERROR(G354),ISERROR(H354)),"Error en fórmula: pegá como valores",IF(AND(B354="",$C$6=""),"Falta sector",IF(M354="","Falta capítulo",IF(TRIM(E354)="","Falta unidad",IF(NOT((COUNTIF(Listas!$A$2:$A$40,E354)+COUNTIF(Listas!$D$2:$D$60,E354)&gt;0)),"Unidad no reconocida",IF(AND(F354&lt;&gt;"",NOT(ISNUMBER(F354))),"Cantidad no es número",IF(N(F354)&lt;=0,"Falta cantidad",IF(OR(AND(G354&lt;&gt;"",NOT(ISNUMBER(G354))),AND(H354&lt;&gt;"",NOT(ISNUMBER(H354)))),"Precio no es número",IF(N(G354)+N(H354)&lt;=0,"Falta precio","✓ OK")))))))))))</f>
        <v/>
      </c>
      <c r="M354" t="str">
        <f>IF(N354&lt;&gt;"W","",IF(TRIM(C354)&lt;&gt;"",TRIM(C354),IFERROR(LOOKUP(2,1/(N$9:N354="T"),D$9:D354),"")))</f>
        <v/>
      </c>
      <c r="N354" t="str">
        <f t="shared" si="17"/>
        <v/>
      </c>
      <c r="O354" t="str">
        <f>IF(M354="","",IF(COUNTIF(M$9:M354,M354)=1,MAX(O$8:O353)+1,""))</f>
        <v/>
      </c>
    </row>
    <row r="355" spans="1:15" x14ac:dyDescent="0.75">
      <c r="A355" s="24" t="str">
        <f>IF(N355="W",COUNTIF(N$9:N355,"W"),"")</f>
        <v/>
      </c>
      <c r="B355" s="25"/>
      <c r="C355" s="25"/>
      <c r="D355" s="26"/>
      <c r="E355" s="25"/>
      <c r="F355" s="27"/>
      <c r="G355" s="28"/>
      <c r="H355" s="28"/>
      <c r="I355" s="29" t="str">
        <f t="shared" si="15"/>
        <v/>
      </c>
      <c r="J355" s="30" t="str">
        <f t="shared" si="16"/>
        <v/>
      </c>
      <c r="K355" s="26"/>
      <c r="L355" s="24" t="str">
        <f>IF(N355="","",IF(N355="T","Título de capítulo",IF(OR(ISERROR(F355),ISERROR(G355),ISERROR(H355)),"Error en fórmula: pegá como valores",IF(AND(B355="",$C$6=""),"Falta sector",IF(M355="","Falta capítulo",IF(TRIM(E355)="","Falta unidad",IF(NOT((COUNTIF(Listas!$A$2:$A$40,E355)+COUNTIF(Listas!$D$2:$D$60,E355)&gt;0)),"Unidad no reconocida",IF(AND(F355&lt;&gt;"",NOT(ISNUMBER(F355))),"Cantidad no es número",IF(N(F355)&lt;=0,"Falta cantidad",IF(OR(AND(G355&lt;&gt;"",NOT(ISNUMBER(G355))),AND(H355&lt;&gt;"",NOT(ISNUMBER(H355)))),"Precio no es número",IF(N(G355)+N(H355)&lt;=0,"Falta precio","✓ OK")))))))))))</f>
        <v/>
      </c>
      <c r="M355" t="str">
        <f>IF(N355&lt;&gt;"W","",IF(TRIM(C355)&lt;&gt;"",TRIM(C355),IFERROR(LOOKUP(2,1/(N$9:N355="T"),D$9:D355),"")))</f>
        <v/>
      </c>
      <c r="N355" t="str">
        <f t="shared" si="17"/>
        <v/>
      </c>
      <c r="O355" t="str">
        <f>IF(M355="","",IF(COUNTIF(M$9:M355,M355)=1,MAX(O$8:O354)+1,""))</f>
        <v/>
      </c>
    </row>
    <row r="356" spans="1:15" x14ac:dyDescent="0.75">
      <c r="A356" s="24" t="str">
        <f>IF(N356="W",COUNTIF(N$9:N356,"W"),"")</f>
        <v/>
      </c>
      <c r="B356" s="25"/>
      <c r="C356" s="25"/>
      <c r="D356" s="26"/>
      <c r="E356" s="25"/>
      <c r="F356" s="27"/>
      <c r="G356" s="28"/>
      <c r="H356" s="28"/>
      <c r="I356" s="29" t="str">
        <f t="shared" si="15"/>
        <v/>
      </c>
      <c r="J356" s="30" t="str">
        <f t="shared" si="16"/>
        <v/>
      </c>
      <c r="K356" s="26"/>
      <c r="L356" s="24" t="str">
        <f>IF(N356="","",IF(N356="T","Título de capítulo",IF(OR(ISERROR(F356),ISERROR(G356),ISERROR(H356)),"Error en fórmula: pegá como valores",IF(AND(B356="",$C$6=""),"Falta sector",IF(M356="","Falta capítulo",IF(TRIM(E356)="","Falta unidad",IF(NOT((COUNTIF(Listas!$A$2:$A$40,E356)+COUNTIF(Listas!$D$2:$D$60,E356)&gt;0)),"Unidad no reconocida",IF(AND(F356&lt;&gt;"",NOT(ISNUMBER(F356))),"Cantidad no es número",IF(N(F356)&lt;=0,"Falta cantidad",IF(OR(AND(G356&lt;&gt;"",NOT(ISNUMBER(G356))),AND(H356&lt;&gt;"",NOT(ISNUMBER(H356)))),"Precio no es número",IF(N(G356)+N(H356)&lt;=0,"Falta precio","✓ OK")))))))))))</f>
        <v/>
      </c>
      <c r="M356" t="str">
        <f>IF(N356&lt;&gt;"W","",IF(TRIM(C356)&lt;&gt;"",TRIM(C356),IFERROR(LOOKUP(2,1/(N$9:N356="T"),D$9:D356),"")))</f>
        <v/>
      </c>
      <c r="N356" t="str">
        <f t="shared" si="17"/>
        <v/>
      </c>
      <c r="O356" t="str">
        <f>IF(M356="","",IF(COUNTIF(M$9:M356,M356)=1,MAX(O$8:O355)+1,""))</f>
        <v/>
      </c>
    </row>
    <row r="357" spans="1:15" x14ac:dyDescent="0.75">
      <c r="A357" s="24" t="str">
        <f>IF(N357="W",COUNTIF(N$9:N357,"W"),"")</f>
        <v/>
      </c>
      <c r="B357" s="25"/>
      <c r="C357" s="25"/>
      <c r="D357" s="26"/>
      <c r="E357" s="25"/>
      <c r="F357" s="27"/>
      <c r="G357" s="28"/>
      <c r="H357" s="28"/>
      <c r="I357" s="29" t="str">
        <f t="shared" si="15"/>
        <v/>
      </c>
      <c r="J357" s="30" t="str">
        <f t="shared" si="16"/>
        <v/>
      </c>
      <c r="K357" s="26"/>
      <c r="L357" s="24" t="str">
        <f>IF(N357="","",IF(N357="T","Título de capítulo",IF(OR(ISERROR(F357),ISERROR(G357),ISERROR(H357)),"Error en fórmula: pegá como valores",IF(AND(B357="",$C$6=""),"Falta sector",IF(M357="","Falta capítulo",IF(TRIM(E357)="","Falta unidad",IF(NOT((COUNTIF(Listas!$A$2:$A$40,E357)+COUNTIF(Listas!$D$2:$D$60,E357)&gt;0)),"Unidad no reconocida",IF(AND(F357&lt;&gt;"",NOT(ISNUMBER(F357))),"Cantidad no es número",IF(N(F357)&lt;=0,"Falta cantidad",IF(OR(AND(G357&lt;&gt;"",NOT(ISNUMBER(G357))),AND(H357&lt;&gt;"",NOT(ISNUMBER(H357)))),"Precio no es número",IF(N(G357)+N(H357)&lt;=0,"Falta precio","✓ OK")))))))))))</f>
        <v/>
      </c>
      <c r="M357" t="str">
        <f>IF(N357&lt;&gt;"W","",IF(TRIM(C357)&lt;&gt;"",TRIM(C357),IFERROR(LOOKUP(2,1/(N$9:N357="T"),D$9:D357),"")))</f>
        <v/>
      </c>
      <c r="N357" t="str">
        <f t="shared" si="17"/>
        <v/>
      </c>
      <c r="O357" t="str">
        <f>IF(M357="","",IF(COUNTIF(M$9:M357,M357)=1,MAX(O$8:O356)+1,""))</f>
        <v/>
      </c>
    </row>
    <row r="358" spans="1:15" x14ac:dyDescent="0.75">
      <c r="A358" s="24" t="str">
        <f>IF(N358="W",COUNTIF(N$9:N358,"W"),"")</f>
        <v/>
      </c>
      <c r="B358" s="25"/>
      <c r="C358" s="25"/>
      <c r="D358" s="26"/>
      <c r="E358" s="25"/>
      <c r="F358" s="27"/>
      <c r="G358" s="28"/>
      <c r="H358" s="28"/>
      <c r="I358" s="29" t="str">
        <f t="shared" si="15"/>
        <v/>
      </c>
      <c r="J358" s="30" t="str">
        <f t="shared" si="16"/>
        <v/>
      </c>
      <c r="K358" s="26"/>
      <c r="L358" s="24" t="str">
        <f>IF(N358="","",IF(N358="T","Título de capítulo",IF(OR(ISERROR(F358),ISERROR(G358),ISERROR(H358)),"Error en fórmula: pegá como valores",IF(AND(B358="",$C$6=""),"Falta sector",IF(M358="","Falta capítulo",IF(TRIM(E358)="","Falta unidad",IF(NOT((COUNTIF(Listas!$A$2:$A$40,E358)+COUNTIF(Listas!$D$2:$D$60,E358)&gt;0)),"Unidad no reconocida",IF(AND(F358&lt;&gt;"",NOT(ISNUMBER(F358))),"Cantidad no es número",IF(N(F358)&lt;=0,"Falta cantidad",IF(OR(AND(G358&lt;&gt;"",NOT(ISNUMBER(G358))),AND(H358&lt;&gt;"",NOT(ISNUMBER(H358)))),"Precio no es número",IF(N(G358)+N(H358)&lt;=0,"Falta precio","✓ OK")))))))))))</f>
        <v/>
      </c>
      <c r="M358" t="str">
        <f>IF(N358&lt;&gt;"W","",IF(TRIM(C358)&lt;&gt;"",TRIM(C358),IFERROR(LOOKUP(2,1/(N$9:N358="T"),D$9:D358),"")))</f>
        <v/>
      </c>
      <c r="N358" t="str">
        <f t="shared" si="17"/>
        <v/>
      </c>
      <c r="O358" t="str">
        <f>IF(M358="","",IF(COUNTIF(M$9:M358,M358)=1,MAX(O$8:O357)+1,""))</f>
        <v/>
      </c>
    </row>
    <row r="359" spans="1:15" x14ac:dyDescent="0.75">
      <c r="A359" s="24" t="str">
        <f>IF(N359="W",COUNTIF(N$9:N359,"W"),"")</f>
        <v/>
      </c>
      <c r="B359" s="25"/>
      <c r="C359" s="25"/>
      <c r="D359" s="26"/>
      <c r="E359" s="25"/>
      <c r="F359" s="27"/>
      <c r="G359" s="28"/>
      <c r="H359" s="28"/>
      <c r="I359" s="29" t="str">
        <f t="shared" si="15"/>
        <v/>
      </c>
      <c r="J359" s="30" t="str">
        <f t="shared" si="16"/>
        <v/>
      </c>
      <c r="K359" s="26"/>
      <c r="L359" s="24" t="str">
        <f>IF(N359="","",IF(N359="T","Título de capítulo",IF(OR(ISERROR(F359),ISERROR(G359),ISERROR(H359)),"Error en fórmula: pegá como valores",IF(AND(B359="",$C$6=""),"Falta sector",IF(M359="","Falta capítulo",IF(TRIM(E359)="","Falta unidad",IF(NOT((COUNTIF(Listas!$A$2:$A$40,E359)+COUNTIF(Listas!$D$2:$D$60,E359)&gt;0)),"Unidad no reconocida",IF(AND(F359&lt;&gt;"",NOT(ISNUMBER(F359))),"Cantidad no es número",IF(N(F359)&lt;=0,"Falta cantidad",IF(OR(AND(G359&lt;&gt;"",NOT(ISNUMBER(G359))),AND(H359&lt;&gt;"",NOT(ISNUMBER(H359)))),"Precio no es número",IF(N(G359)+N(H359)&lt;=0,"Falta precio","✓ OK")))))))))))</f>
        <v/>
      </c>
      <c r="M359" t="str">
        <f>IF(N359&lt;&gt;"W","",IF(TRIM(C359)&lt;&gt;"",TRIM(C359),IFERROR(LOOKUP(2,1/(N$9:N359="T"),D$9:D359),"")))</f>
        <v/>
      </c>
      <c r="N359" t="str">
        <f t="shared" si="17"/>
        <v/>
      </c>
      <c r="O359" t="str">
        <f>IF(M359="","",IF(COUNTIF(M$9:M359,M359)=1,MAX(O$8:O358)+1,""))</f>
        <v/>
      </c>
    </row>
    <row r="360" spans="1:15" x14ac:dyDescent="0.75">
      <c r="A360" s="24" t="str">
        <f>IF(N360="W",COUNTIF(N$9:N360,"W"),"")</f>
        <v/>
      </c>
      <c r="B360" s="25"/>
      <c r="C360" s="25"/>
      <c r="D360" s="26"/>
      <c r="E360" s="25"/>
      <c r="F360" s="27"/>
      <c r="G360" s="28"/>
      <c r="H360" s="28"/>
      <c r="I360" s="29" t="str">
        <f t="shared" si="15"/>
        <v/>
      </c>
      <c r="J360" s="30" t="str">
        <f t="shared" si="16"/>
        <v/>
      </c>
      <c r="K360" s="26"/>
      <c r="L360" s="24" t="str">
        <f>IF(N360="","",IF(N360="T","Título de capítulo",IF(OR(ISERROR(F360),ISERROR(G360),ISERROR(H360)),"Error en fórmula: pegá como valores",IF(AND(B360="",$C$6=""),"Falta sector",IF(M360="","Falta capítulo",IF(TRIM(E360)="","Falta unidad",IF(NOT((COUNTIF(Listas!$A$2:$A$40,E360)+COUNTIF(Listas!$D$2:$D$60,E360)&gt;0)),"Unidad no reconocida",IF(AND(F360&lt;&gt;"",NOT(ISNUMBER(F360))),"Cantidad no es número",IF(N(F360)&lt;=0,"Falta cantidad",IF(OR(AND(G360&lt;&gt;"",NOT(ISNUMBER(G360))),AND(H360&lt;&gt;"",NOT(ISNUMBER(H360)))),"Precio no es número",IF(N(G360)+N(H360)&lt;=0,"Falta precio","✓ OK")))))))))))</f>
        <v/>
      </c>
      <c r="M360" t="str">
        <f>IF(N360&lt;&gt;"W","",IF(TRIM(C360)&lt;&gt;"",TRIM(C360),IFERROR(LOOKUP(2,1/(N$9:N360="T"),D$9:D360),"")))</f>
        <v/>
      </c>
      <c r="N360" t="str">
        <f t="shared" si="17"/>
        <v/>
      </c>
      <c r="O360" t="str">
        <f>IF(M360="","",IF(COUNTIF(M$9:M360,M360)=1,MAX(O$8:O359)+1,""))</f>
        <v/>
      </c>
    </row>
    <row r="361" spans="1:15" x14ac:dyDescent="0.75">
      <c r="A361" s="24" t="str">
        <f>IF(N361="W",COUNTIF(N$9:N361,"W"),"")</f>
        <v/>
      </c>
      <c r="B361" s="25"/>
      <c r="C361" s="25"/>
      <c r="D361" s="26"/>
      <c r="E361" s="25"/>
      <c r="F361" s="27"/>
      <c r="G361" s="28"/>
      <c r="H361" s="28"/>
      <c r="I361" s="29" t="str">
        <f t="shared" si="15"/>
        <v/>
      </c>
      <c r="J361" s="30" t="str">
        <f t="shared" si="16"/>
        <v/>
      </c>
      <c r="K361" s="26"/>
      <c r="L361" s="24" t="str">
        <f>IF(N361="","",IF(N361="T","Título de capítulo",IF(OR(ISERROR(F361),ISERROR(G361),ISERROR(H361)),"Error en fórmula: pegá como valores",IF(AND(B361="",$C$6=""),"Falta sector",IF(M361="","Falta capítulo",IF(TRIM(E361)="","Falta unidad",IF(NOT((COUNTIF(Listas!$A$2:$A$40,E361)+COUNTIF(Listas!$D$2:$D$60,E361)&gt;0)),"Unidad no reconocida",IF(AND(F361&lt;&gt;"",NOT(ISNUMBER(F361))),"Cantidad no es número",IF(N(F361)&lt;=0,"Falta cantidad",IF(OR(AND(G361&lt;&gt;"",NOT(ISNUMBER(G361))),AND(H361&lt;&gt;"",NOT(ISNUMBER(H361)))),"Precio no es número",IF(N(G361)+N(H361)&lt;=0,"Falta precio","✓ OK")))))))))))</f>
        <v/>
      </c>
      <c r="M361" t="str">
        <f>IF(N361&lt;&gt;"W","",IF(TRIM(C361)&lt;&gt;"",TRIM(C361),IFERROR(LOOKUP(2,1/(N$9:N361="T"),D$9:D361),"")))</f>
        <v/>
      </c>
      <c r="N361" t="str">
        <f t="shared" si="17"/>
        <v/>
      </c>
      <c r="O361" t="str">
        <f>IF(M361="","",IF(COUNTIF(M$9:M361,M361)=1,MAX(O$8:O360)+1,""))</f>
        <v/>
      </c>
    </row>
    <row r="362" spans="1:15" x14ac:dyDescent="0.75">
      <c r="A362" s="24" t="str">
        <f>IF(N362="W",COUNTIF(N$9:N362,"W"),"")</f>
        <v/>
      </c>
      <c r="B362" s="25"/>
      <c r="C362" s="25"/>
      <c r="D362" s="26"/>
      <c r="E362" s="25"/>
      <c r="F362" s="27"/>
      <c r="G362" s="28"/>
      <c r="H362" s="28"/>
      <c r="I362" s="29" t="str">
        <f t="shared" si="15"/>
        <v/>
      </c>
      <c r="J362" s="30" t="str">
        <f t="shared" si="16"/>
        <v/>
      </c>
      <c r="K362" s="26"/>
      <c r="L362" s="24" t="str">
        <f>IF(N362="","",IF(N362="T","Título de capítulo",IF(OR(ISERROR(F362),ISERROR(G362),ISERROR(H362)),"Error en fórmula: pegá como valores",IF(AND(B362="",$C$6=""),"Falta sector",IF(M362="","Falta capítulo",IF(TRIM(E362)="","Falta unidad",IF(NOT((COUNTIF(Listas!$A$2:$A$40,E362)+COUNTIF(Listas!$D$2:$D$60,E362)&gt;0)),"Unidad no reconocida",IF(AND(F362&lt;&gt;"",NOT(ISNUMBER(F362))),"Cantidad no es número",IF(N(F362)&lt;=0,"Falta cantidad",IF(OR(AND(G362&lt;&gt;"",NOT(ISNUMBER(G362))),AND(H362&lt;&gt;"",NOT(ISNUMBER(H362)))),"Precio no es número",IF(N(G362)+N(H362)&lt;=0,"Falta precio","✓ OK")))))))))))</f>
        <v/>
      </c>
      <c r="M362" t="str">
        <f>IF(N362&lt;&gt;"W","",IF(TRIM(C362)&lt;&gt;"",TRIM(C362),IFERROR(LOOKUP(2,1/(N$9:N362="T"),D$9:D362),"")))</f>
        <v/>
      </c>
      <c r="N362" t="str">
        <f t="shared" si="17"/>
        <v/>
      </c>
      <c r="O362" t="str">
        <f>IF(M362="","",IF(COUNTIF(M$9:M362,M362)=1,MAX(O$8:O361)+1,""))</f>
        <v/>
      </c>
    </row>
    <row r="363" spans="1:15" x14ac:dyDescent="0.75">
      <c r="A363" s="24" t="str">
        <f>IF(N363="W",COUNTIF(N$9:N363,"W"),"")</f>
        <v/>
      </c>
      <c r="B363" s="25"/>
      <c r="C363" s="25"/>
      <c r="D363" s="26"/>
      <c r="E363" s="25"/>
      <c r="F363" s="27"/>
      <c r="G363" s="28"/>
      <c r="H363" s="28"/>
      <c r="I363" s="29" t="str">
        <f t="shared" si="15"/>
        <v/>
      </c>
      <c r="J363" s="30" t="str">
        <f t="shared" si="16"/>
        <v/>
      </c>
      <c r="K363" s="26"/>
      <c r="L363" s="24" t="str">
        <f>IF(N363="","",IF(N363="T","Título de capítulo",IF(OR(ISERROR(F363),ISERROR(G363),ISERROR(H363)),"Error en fórmula: pegá como valores",IF(AND(B363="",$C$6=""),"Falta sector",IF(M363="","Falta capítulo",IF(TRIM(E363)="","Falta unidad",IF(NOT((COUNTIF(Listas!$A$2:$A$40,E363)+COUNTIF(Listas!$D$2:$D$60,E363)&gt;0)),"Unidad no reconocida",IF(AND(F363&lt;&gt;"",NOT(ISNUMBER(F363))),"Cantidad no es número",IF(N(F363)&lt;=0,"Falta cantidad",IF(OR(AND(G363&lt;&gt;"",NOT(ISNUMBER(G363))),AND(H363&lt;&gt;"",NOT(ISNUMBER(H363)))),"Precio no es número",IF(N(G363)+N(H363)&lt;=0,"Falta precio","✓ OK")))))))))))</f>
        <v/>
      </c>
      <c r="M363" t="str">
        <f>IF(N363&lt;&gt;"W","",IF(TRIM(C363)&lt;&gt;"",TRIM(C363),IFERROR(LOOKUP(2,1/(N$9:N363="T"),D$9:D363),"")))</f>
        <v/>
      </c>
      <c r="N363" t="str">
        <f t="shared" si="17"/>
        <v/>
      </c>
      <c r="O363" t="str">
        <f>IF(M363="","",IF(COUNTIF(M$9:M363,M363)=1,MAX(O$8:O362)+1,""))</f>
        <v/>
      </c>
    </row>
    <row r="364" spans="1:15" x14ac:dyDescent="0.75">
      <c r="A364" s="24" t="str">
        <f>IF(N364="W",COUNTIF(N$9:N364,"W"),"")</f>
        <v/>
      </c>
      <c r="B364" s="25"/>
      <c r="C364" s="25"/>
      <c r="D364" s="26"/>
      <c r="E364" s="25"/>
      <c r="F364" s="27"/>
      <c r="G364" s="28"/>
      <c r="H364" s="28"/>
      <c r="I364" s="29" t="str">
        <f t="shared" si="15"/>
        <v/>
      </c>
      <c r="J364" s="30" t="str">
        <f t="shared" si="16"/>
        <v/>
      </c>
      <c r="K364" s="26"/>
      <c r="L364" s="24" t="str">
        <f>IF(N364="","",IF(N364="T","Título de capítulo",IF(OR(ISERROR(F364),ISERROR(G364),ISERROR(H364)),"Error en fórmula: pegá como valores",IF(AND(B364="",$C$6=""),"Falta sector",IF(M364="","Falta capítulo",IF(TRIM(E364)="","Falta unidad",IF(NOT((COUNTIF(Listas!$A$2:$A$40,E364)+COUNTIF(Listas!$D$2:$D$60,E364)&gt;0)),"Unidad no reconocida",IF(AND(F364&lt;&gt;"",NOT(ISNUMBER(F364))),"Cantidad no es número",IF(N(F364)&lt;=0,"Falta cantidad",IF(OR(AND(G364&lt;&gt;"",NOT(ISNUMBER(G364))),AND(H364&lt;&gt;"",NOT(ISNUMBER(H364)))),"Precio no es número",IF(N(G364)+N(H364)&lt;=0,"Falta precio","✓ OK")))))))))))</f>
        <v/>
      </c>
      <c r="M364" t="str">
        <f>IF(N364&lt;&gt;"W","",IF(TRIM(C364)&lt;&gt;"",TRIM(C364),IFERROR(LOOKUP(2,1/(N$9:N364="T"),D$9:D364),"")))</f>
        <v/>
      </c>
      <c r="N364" t="str">
        <f t="shared" si="17"/>
        <v/>
      </c>
      <c r="O364" t="str">
        <f>IF(M364="","",IF(COUNTIF(M$9:M364,M364)=1,MAX(O$8:O363)+1,""))</f>
        <v/>
      </c>
    </row>
    <row r="365" spans="1:15" x14ac:dyDescent="0.75">
      <c r="A365" s="24" t="str">
        <f>IF(N365="W",COUNTIF(N$9:N365,"W"),"")</f>
        <v/>
      </c>
      <c r="B365" s="25"/>
      <c r="C365" s="25"/>
      <c r="D365" s="26"/>
      <c r="E365" s="25"/>
      <c r="F365" s="27"/>
      <c r="G365" s="28"/>
      <c r="H365" s="28"/>
      <c r="I365" s="29" t="str">
        <f t="shared" si="15"/>
        <v/>
      </c>
      <c r="J365" s="30" t="str">
        <f t="shared" si="16"/>
        <v/>
      </c>
      <c r="K365" s="26"/>
      <c r="L365" s="24" t="str">
        <f>IF(N365="","",IF(N365="T","Título de capítulo",IF(OR(ISERROR(F365),ISERROR(G365),ISERROR(H365)),"Error en fórmula: pegá como valores",IF(AND(B365="",$C$6=""),"Falta sector",IF(M365="","Falta capítulo",IF(TRIM(E365)="","Falta unidad",IF(NOT((COUNTIF(Listas!$A$2:$A$40,E365)+COUNTIF(Listas!$D$2:$D$60,E365)&gt;0)),"Unidad no reconocida",IF(AND(F365&lt;&gt;"",NOT(ISNUMBER(F365))),"Cantidad no es número",IF(N(F365)&lt;=0,"Falta cantidad",IF(OR(AND(G365&lt;&gt;"",NOT(ISNUMBER(G365))),AND(H365&lt;&gt;"",NOT(ISNUMBER(H365)))),"Precio no es número",IF(N(G365)+N(H365)&lt;=0,"Falta precio","✓ OK")))))))))))</f>
        <v/>
      </c>
      <c r="M365" t="str">
        <f>IF(N365&lt;&gt;"W","",IF(TRIM(C365)&lt;&gt;"",TRIM(C365),IFERROR(LOOKUP(2,1/(N$9:N365="T"),D$9:D365),"")))</f>
        <v/>
      </c>
      <c r="N365" t="str">
        <f t="shared" si="17"/>
        <v/>
      </c>
      <c r="O365" t="str">
        <f>IF(M365="","",IF(COUNTIF(M$9:M365,M365)=1,MAX(O$8:O364)+1,""))</f>
        <v/>
      </c>
    </row>
    <row r="366" spans="1:15" x14ac:dyDescent="0.75">
      <c r="A366" s="24" t="str">
        <f>IF(N366="W",COUNTIF(N$9:N366,"W"),"")</f>
        <v/>
      </c>
      <c r="B366" s="25"/>
      <c r="C366" s="25"/>
      <c r="D366" s="26"/>
      <c r="E366" s="25"/>
      <c r="F366" s="27"/>
      <c r="G366" s="28"/>
      <c r="H366" s="28"/>
      <c r="I366" s="29" t="str">
        <f t="shared" si="15"/>
        <v/>
      </c>
      <c r="J366" s="30" t="str">
        <f t="shared" si="16"/>
        <v/>
      </c>
      <c r="K366" s="26"/>
      <c r="L366" s="24" t="str">
        <f>IF(N366="","",IF(N366="T","Título de capítulo",IF(OR(ISERROR(F366),ISERROR(G366),ISERROR(H366)),"Error en fórmula: pegá como valores",IF(AND(B366="",$C$6=""),"Falta sector",IF(M366="","Falta capítulo",IF(TRIM(E366)="","Falta unidad",IF(NOT((COUNTIF(Listas!$A$2:$A$40,E366)+COUNTIF(Listas!$D$2:$D$60,E366)&gt;0)),"Unidad no reconocida",IF(AND(F366&lt;&gt;"",NOT(ISNUMBER(F366))),"Cantidad no es número",IF(N(F366)&lt;=0,"Falta cantidad",IF(OR(AND(G366&lt;&gt;"",NOT(ISNUMBER(G366))),AND(H366&lt;&gt;"",NOT(ISNUMBER(H366)))),"Precio no es número",IF(N(G366)+N(H366)&lt;=0,"Falta precio","✓ OK")))))))))))</f>
        <v/>
      </c>
      <c r="M366" t="str">
        <f>IF(N366&lt;&gt;"W","",IF(TRIM(C366)&lt;&gt;"",TRIM(C366),IFERROR(LOOKUP(2,1/(N$9:N366="T"),D$9:D366),"")))</f>
        <v/>
      </c>
      <c r="N366" t="str">
        <f t="shared" si="17"/>
        <v/>
      </c>
      <c r="O366" t="str">
        <f>IF(M366="","",IF(COUNTIF(M$9:M366,M366)=1,MAX(O$8:O365)+1,""))</f>
        <v/>
      </c>
    </row>
    <row r="367" spans="1:15" x14ac:dyDescent="0.75">
      <c r="A367" s="24" t="str">
        <f>IF(N367="W",COUNTIF(N$9:N367,"W"),"")</f>
        <v/>
      </c>
      <c r="B367" s="25"/>
      <c r="C367" s="25"/>
      <c r="D367" s="26"/>
      <c r="E367" s="25"/>
      <c r="F367" s="27"/>
      <c r="G367" s="28"/>
      <c r="H367" s="28"/>
      <c r="I367" s="29" t="str">
        <f t="shared" si="15"/>
        <v/>
      </c>
      <c r="J367" s="30" t="str">
        <f t="shared" si="16"/>
        <v/>
      </c>
      <c r="K367" s="26"/>
      <c r="L367" s="24" t="str">
        <f>IF(N367="","",IF(N367="T","Título de capítulo",IF(OR(ISERROR(F367),ISERROR(G367),ISERROR(H367)),"Error en fórmula: pegá como valores",IF(AND(B367="",$C$6=""),"Falta sector",IF(M367="","Falta capítulo",IF(TRIM(E367)="","Falta unidad",IF(NOT((COUNTIF(Listas!$A$2:$A$40,E367)+COUNTIF(Listas!$D$2:$D$60,E367)&gt;0)),"Unidad no reconocida",IF(AND(F367&lt;&gt;"",NOT(ISNUMBER(F367))),"Cantidad no es número",IF(N(F367)&lt;=0,"Falta cantidad",IF(OR(AND(G367&lt;&gt;"",NOT(ISNUMBER(G367))),AND(H367&lt;&gt;"",NOT(ISNUMBER(H367)))),"Precio no es número",IF(N(G367)+N(H367)&lt;=0,"Falta precio","✓ OK")))))))))))</f>
        <v/>
      </c>
      <c r="M367" t="str">
        <f>IF(N367&lt;&gt;"W","",IF(TRIM(C367)&lt;&gt;"",TRIM(C367),IFERROR(LOOKUP(2,1/(N$9:N367="T"),D$9:D367),"")))</f>
        <v/>
      </c>
      <c r="N367" t="str">
        <f t="shared" si="17"/>
        <v/>
      </c>
      <c r="O367" t="str">
        <f>IF(M367="","",IF(COUNTIF(M$9:M367,M367)=1,MAX(O$8:O366)+1,""))</f>
        <v/>
      </c>
    </row>
    <row r="368" spans="1:15" x14ac:dyDescent="0.75">
      <c r="A368" s="24" t="str">
        <f>IF(N368="W",COUNTIF(N$9:N368,"W"),"")</f>
        <v/>
      </c>
      <c r="B368" s="25"/>
      <c r="C368" s="25"/>
      <c r="D368" s="26"/>
      <c r="E368" s="25"/>
      <c r="F368" s="27"/>
      <c r="G368" s="28"/>
      <c r="H368" s="28"/>
      <c r="I368" s="29" t="str">
        <f t="shared" si="15"/>
        <v/>
      </c>
      <c r="J368" s="30" t="str">
        <f t="shared" si="16"/>
        <v/>
      </c>
      <c r="K368" s="26"/>
      <c r="L368" s="24" t="str">
        <f>IF(N368="","",IF(N368="T","Título de capítulo",IF(OR(ISERROR(F368),ISERROR(G368),ISERROR(H368)),"Error en fórmula: pegá como valores",IF(AND(B368="",$C$6=""),"Falta sector",IF(M368="","Falta capítulo",IF(TRIM(E368)="","Falta unidad",IF(NOT((COUNTIF(Listas!$A$2:$A$40,E368)+COUNTIF(Listas!$D$2:$D$60,E368)&gt;0)),"Unidad no reconocida",IF(AND(F368&lt;&gt;"",NOT(ISNUMBER(F368))),"Cantidad no es número",IF(N(F368)&lt;=0,"Falta cantidad",IF(OR(AND(G368&lt;&gt;"",NOT(ISNUMBER(G368))),AND(H368&lt;&gt;"",NOT(ISNUMBER(H368)))),"Precio no es número",IF(N(G368)+N(H368)&lt;=0,"Falta precio","✓ OK")))))))))))</f>
        <v/>
      </c>
      <c r="M368" t="str">
        <f>IF(N368&lt;&gt;"W","",IF(TRIM(C368)&lt;&gt;"",TRIM(C368),IFERROR(LOOKUP(2,1/(N$9:N368="T"),D$9:D368),"")))</f>
        <v/>
      </c>
      <c r="N368" t="str">
        <f t="shared" si="17"/>
        <v/>
      </c>
      <c r="O368" t="str">
        <f>IF(M368="","",IF(COUNTIF(M$9:M368,M368)=1,MAX(O$8:O367)+1,""))</f>
        <v/>
      </c>
    </row>
    <row r="369" spans="1:15" x14ac:dyDescent="0.75">
      <c r="A369" s="24" t="str">
        <f>IF(N369="W",COUNTIF(N$9:N369,"W"),"")</f>
        <v/>
      </c>
      <c r="B369" s="25"/>
      <c r="C369" s="25"/>
      <c r="D369" s="26"/>
      <c r="E369" s="25"/>
      <c r="F369" s="27"/>
      <c r="G369" s="28"/>
      <c r="H369" s="28"/>
      <c r="I369" s="29" t="str">
        <f t="shared" si="15"/>
        <v/>
      </c>
      <c r="J369" s="30" t="str">
        <f t="shared" si="16"/>
        <v/>
      </c>
      <c r="K369" s="26"/>
      <c r="L369" s="24" t="str">
        <f>IF(N369="","",IF(N369="T","Título de capítulo",IF(OR(ISERROR(F369),ISERROR(G369),ISERROR(H369)),"Error en fórmula: pegá como valores",IF(AND(B369="",$C$6=""),"Falta sector",IF(M369="","Falta capítulo",IF(TRIM(E369)="","Falta unidad",IF(NOT((COUNTIF(Listas!$A$2:$A$40,E369)+COUNTIF(Listas!$D$2:$D$60,E369)&gt;0)),"Unidad no reconocida",IF(AND(F369&lt;&gt;"",NOT(ISNUMBER(F369))),"Cantidad no es número",IF(N(F369)&lt;=0,"Falta cantidad",IF(OR(AND(G369&lt;&gt;"",NOT(ISNUMBER(G369))),AND(H369&lt;&gt;"",NOT(ISNUMBER(H369)))),"Precio no es número",IF(N(G369)+N(H369)&lt;=0,"Falta precio","✓ OK")))))))))))</f>
        <v/>
      </c>
      <c r="M369" t="str">
        <f>IF(N369&lt;&gt;"W","",IF(TRIM(C369)&lt;&gt;"",TRIM(C369),IFERROR(LOOKUP(2,1/(N$9:N369="T"),D$9:D369),"")))</f>
        <v/>
      </c>
      <c r="N369" t="str">
        <f t="shared" si="17"/>
        <v/>
      </c>
      <c r="O369" t="str">
        <f>IF(M369="","",IF(COUNTIF(M$9:M369,M369)=1,MAX(O$8:O368)+1,""))</f>
        <v/>
      </c>
    </row>
    <row r="370" spans="1:15" x14ac:dyDescent="0.75">
      <c r="A370" s="24" t="str">
        <f>IF(N370="W",COUNTIF(N$9:N370,"W"),"")</f>
        <v/>
      </c>
      <c r="B370" s="25"/>
      <c r="C370" s="25"/>
      <c r="D370" s="26"/>
      <c r="E370" s="25"/>
      <c r="F370" s="27"/>
      <c r="G370" s="28"/>
      <c r="H370" s="28"/>
      <c r="I370" s="29" t="str">
        <f t="shared" si="15"/>
        <v/>
      </c>
      <c r="J370" s="30" t="str">
        <f t="shared" si="16"/>
        <v/>
      </c>
      <c r="K370" s="26"/>
      <c r="L370" s="24" t="str">
        <f>IF(N370="","",IF(N370="T","Título de capítulo",IF(OR(ISERROR(F370),ISERROR(G370),ISERROR(H370)),"Error en fórmula: pegá como valores",IF(AND(B370="",$C$6=""),"Falta sector",IF(M370="","Falta capítulo",IF(TRIM(E370)="","Falta unidad",IF(NOT((COUNTIF(Listas!$A$2:$A$40,E370)+COUNTIF(Listas!$D$2:$D$60,E370)&gt;0)),"Unidad no reconocida",IF(AND(F370&lt;&gt;"",NOT(ISNUMBER(F370))),"Cantidad no es número",IF(N(F370)&lt;=0,"Falta cantidad",IF(OR(AND(G370&lt;&gt;"",NOT(ISNUMBER(G370))),AND(H370&lt;&gt;"",NOT(ISNUMBER(H370)))),"Precio no es número",IF(N(G370)+N(H370)&lt;=0,"Falta precio","✓ OK")))))))))))</f>
        <v/>
      </c>
      <c r="M370" t="str">
        <f>IF(N370&lt;&gt;"W","",IF(TRIM(C370)&lt;&gt;"",TRIM(C370),IFERROR(LOOKUP(2,1/(N$9:N370="T"),D$9:D370),"")))</f>
        <v/>
      </c>
      <c r="N370" t="str">
        <f t="shared" si="17"/>
        <v/>
      </c>
      <c r="O370" t="str">
        <f>IF(M370="","",IF(COUNTIF(M$9:M370,M370)=1,MAX(O$8:O369)+1,""))</f>
        <v/>
      </c>
    </row>
    <row r="371" spans="1:15" x14ac:dyDescent="0.75">
      <c r="A371" s="24" t="str">
        <f>IF(N371="W",COUNTIF(N$9:N371,"W"),"")</f>
        <v/>
      </c>
      <c r="B371" s="25"/>
      <c r="C371" s="25"/>
      <c r="D371" s="26"/>
      <c r="E371" s="25"/>
      <c r="F371" s="27"/>
      <c r="G371" s="28"/>
      <c r="H371" s="28"/>
      <c r="I371" s="29" t="str">
        <f t="shared" si="15"/>
        <v/>
      </c>
      <c r="J371" s="30" t="str">
        <f t="shared" si="16"/>
        <v/>
      </c>
      <c r="K371" s="26"/>
      <c r="L371" s="24" t="str">
        <f>IF(N371="","",IF(N371="T","Título de capítulo",IF(OR(ISERROR(F371),ISERROR(G371),ISERROR(H371)),"Error en fórmula: pegá como valores",IF(AND(B371="",$C$6=""),"Falta sector",IF(M371="","Falta capítulo",IF(TRIM(E371)="","Falta unidad",IF(NOT((COUNTIF(Listas!$A$2:$A$40,E371)+COUNTIF(Listas!$D$2:$D$60,E371)&gt;0)),"Unidad no reconocida",IF(AND(F371&lt;&gt;"",NOT(ISNUMBER(F371))),"Cantidad no es número",IF(N(F371)&lt;=0,"Falta cantidad",IF(OR(AND(G371&lt;&gt;"",NOT(ISNUMBER(G371))),AND(H371&lt;&gt;"",NOT(ISNUMBER(H371)))),"Precio no es número",IF(N(G371)+N(H371)&lt;=0,"Falta precio","✓ OK")))))))))))</f>
        <v/>
      </c>
      <c r="M371" t="str">
        <f>IF(N371&lt;&gt;"W","",IF(TRIM(C371)&lt;&gt;"",TRIM(C371),IFERROR(LOOKUP(2,1/(N$9:N371="T"),D$9:D371),"")))</f>
        <v/>
      </c>
      <c r="N371" t="str">
        <f t="shared" si="17"/>
        <v/>
      </c>
      <c r="O371" t="str">
        <f>IF(M371="","",IF(COUNTIF(M$9:M371,M371)=1,MAX(O$8:O370)+1,""))</f>
        <v/>
      </c>
    </row>
    <row r="372" spans="1:15" x14ac:dyDescent="0.75">
      <c r="A372" s="24" t="str">
        <f>IF(N372="W",COUNTIF(N$9:N372,"W"),"")</f>
        <v/>
      </c>
      <c r="B372" s="25"/>
      <c r="C372" s="25"/>
      <c r="D372" s="26"/>
      <c r="E372" s="25"/>
      <c r="F372" s="27"/>
      <c r="G372" s="28"/>
      <c r="H372" s="28"/>
      <c r="I372" s="29" t="str">
        <f t="shared" si="15"/>
        <v/>
      </c>
      <c r="J372" s="30" t="str">
        <f t="shared" si="16"/>
        <v/>
      </c>
      <c r="K372" s="26"/>
      <c r="L372" s="24" t="str">
        <f>IF(N372="","",IF(N372="T","Título de capítulo",IF(OR(ISERROR(F372),ISERROR(G372),ISERROR(H372)),"Error en fórmula: pegá como valores",IF(AND(B372="",$C$6=""),"Falta sector",IF(M372="","Falta capítulo",IF(TRIM(E372)="","Falta unidad",IF(NOT((COUNTIF(Listas!$A$2:$A$40,E372)+COUNTIF(Listas!$D$2:$D$60,E372)&gt;0)),"Unidad no reconocida",IF(AND(F372&lt;&gt;"",NOT(ISNUMBER(F372))),"Cantidad no es número",IF(N(F372)&lt;=0,"Falta cantidad",IF(OR(AND(G372&lt;&gt;"",NOT(ISNUMBER(G372))),AND(H372&lt;&gt;"",NOT(ISNUMBER(H372)))),"Precio no es número",IF(N(G372)+N(H372)&lt;=0,"Falta precio","✓ OK")))))))))))</f>
        <v/>
      </c>
      <c r="M372" t="str">
        <f>IF(N372&lt;&gt;"W","",IF(TRIM(C372)&lt;&gt;"",TRIM(C372),IFERROR(LOOKUP(2,1/(N$9:N372="T"),D$9:D372),"")))</f>
        <v/>
      </c>
      <c r="N372" t="str">
        <f t="shared" si="17"/>
        <v/>
      </c>
      <c r="O372" t="str">
        <f>IF(M372="","",IF(COUNTIF(M$9:M372,M372)=1,MAX(O$8:O371)+1,""))</f>
        <v/>
      </c>
    </row>
    <row r="373" spans="1:15" x14ac:dyDescent="0.75">
      <c r="A373" s="24" t="str">
        <f>IF(N373="W",COUNTIF(N$9:N373,"W"),"")</f>
        <v/>
      </c>
      <c r="B373" s="25"/>
      <c r="C373" s="25"/>
      <c r="D373" s="26"/>
      <c r="E373" s="25"/>
      <c r="F373" s="27"/>
      <c r="G373" s="28"/>
      <c r="H373" s="28"/>
      <c r="I373" s="29" t="str">
        <f t="shared" si="15"/>
        <v/>
      </c>
      <c r="J373" s="30" t="str">
        <f t="shared" si="16"/>
        <v/>
      </c>
      <c r="K373" s="26"/>
      <c r="L373" s="24" t="str">
        <f>IF(N373="","",IF(N373="T","Título de capítulo",IF(OR(ISERROR(F373),ISERROR(G373),ISERROR(H373)),"Error en fórmula: pegá como valores",IF(AND(B373="",$C$6=""),"Falta sector",IF(M373="","Falta capítulo",IF(TRIM(E373)="","Falta unidad",IF(NOT((COUNTIF(Listas!$A$2:$A$40,E373)+COUNTIF(Listas!$D$2:$D$60,E373)&gt;0)),"Unidad no reconocida",IF(AND(F373&lt;&gt;"",NOT(ISNUMBER(F373))),"Cantidad no es número",IF(N(F373)&lt;=0,"Falta cantidad",IF(OR(AND(G373&lt;&gt;"",NOT(ISNUMBER(G373))),AND(H373&lt;&gt;"",NOT(ISNUMBER(H373)))),"Precio no es número",IF(N(G373)+N(H373)&lt;=0,"Falta precio","✓ OK")))))))))))</f>
        <v/>
      </c>
      <c r="M373" t="str">
        <f>IF(N373&lt;&gt;"W","",IF(TRIM(C373)&lt;&gt;"",TRIM(C373),IFERROR(LOOKUP(2,1/(N$9:N373="T"),D$9:D373),"")))</f>
        <v/>
      </c>
      <c r="N373" t="str">
        <f t="shared" si="17"/>
        <v/>
      </c>
      <c r="O373" t="str">
        <f>IF(M373="","",IF(COUNTIF(M$9:M373,M373)=1,MAX(O$8:O372)+1,""))</f>
        <v/>
      </c>
    </row>
    <row r="374" spans="1:15" x14ac:dyDescent="0.75">
      <c r="A374" s="24" t="str">
        <f>IF(N374="W",COUNTIF(N$9:N374,"W"),"")</f>
        <v/>
      </c>
      <c r="B374" s="25"/>
      <c r="C374" s="25"/>
      <c r="D374" s="26"/>
      <c r="E374" s="25"/>
      <c r="F374" s="27"/>
      <c r="G374" s="28"/>
      <c r="H374" s="28"/>
      <c r="I374" s="29" t="str">
        <f t="shared" si="15"/>
        <v/>
      </c>
      <c r="J374" s="30" t="str">
        <f t="shared" si="16"/>
        <v/>
      </c>
      <c r="K374" s="26"/>
      <c r="L374" s="24" t="str">
        <f>IF(N374="","",IF(N374="T","Título de capítulo",IF(OR(ISERROR(F374),ISERROR(G374),ISERROR(H374)),"Error en fórmula: pegá como valores",IF(AND(B374="",$C$6=""),"Falta sector",IF(M374="","Falta capítulo",IF(TRIM(E374)="","Falta unidad",IF(NOT((COUNTIF(Listas!$A$2:$A$40,E374)+COUNTIF(Listas!$D$2:$D$60,E374)&gt;0)),"Unidad no reconocida",IF(AND(F374&lt;&gt;"",NOT(ISNUMBER(F374))),"Cantidad no es número",IF(N(F374)&lt;=0,"Falta cantidad",IF(OR(AND(G374&lt;&gt;"",NOT(ISNUMBER(G374))),AND(H374&lt;&gt;"",NOT(ISNUMBER(H374)))),"Precio no es número",IF(N(G374)+N(H374)&lt;=0,"Falta precio","✓ OK")))))))))))</f>
        <v/>
      </c>
      <c r="M374" t="str">
        <f>IF(N374&lt;&gt;"W","",IF(TRIM(C374)&lt;&gt;"",TRIM(C374),IFERROR(LOOKUP(2,1/(N$9:N374="T"),D$9:D374),"")))</f>
        <v/>
      </c>
      <c r="N374" t="str">
        <f t="shared" si="17"/>
        <v/>
      </c>
      <c r="O374" t="str">
        <f>IF(M374="","",IF(COUNTIF(M$9:M374,M374)=1,MAX(O$8:O373)+1,""))</f>
        <v/>
      </c>
    </row>
    <row r="375" spans="1:15" x14ac:dyDescent="0.75">
      <c r="A375" s="24" t="str">
        <f>IF(N375="W",COUNTIF(N$9:N375,"W"),"")</f>
        <v/>
      </c>
      <c r="B375" s="25"/>
      <c r="C375" s="25"/>
      <c r="D375" s="26"/>
      <c r="E375" s="25"/>
      <c r="F375" s="27"/>
      <c r="G375" s="28"/>
      <c r="H375" s="28"/>
      <c r="I375" s="29" t="str">
        <f t="shared" si="15"/>
        <v/>
      </c>
      <c r="J375" s="30" t="str">
        <f t="shared" si="16"/>
        <v/>
      </c>
      <c r="K375" s="26"/>
      <c r="L375" s="24" t="str">
        <f>IF(N375="","",IF(N375="T","Título de capítulo",IF(OR(ISERROR(F375),ISERROR(G375),ISERROR(H375)),"Error en fórmula: pegá como valores",IF(AND(B375="",$C$6=""),"Falta sector",IF(M375="","Falta capítulo",IF(TRIM(E375)="","Falta unidad",IF(NOT((COUNTIF(Listas!$A$2:$A$40,E375)+COUNTIF(Listas!$D$2:$D$60,E375)&gt;0)),"Unidad no reconocida",IF(AND(F375&lt;&gt;"",NOT(ISNUMBER(F375))),"Cantidad no es número",IF(N(F375)&lt;=0,"Falta cantidad",IF(OR(AND(G375&lt;&gt;"",NOT(ISNUMBER(G375))),AND(H375&lt;&gt;"",NOT(ISNUMBER(H375)))),"Precio no es número",IF(N(G375)+N(H375)&lt;=0,"Falta precio","✓ OK")))))))))))</f>
        <v/>
      </c>
      <c r="M375" t="str">
        <f>IF(N375&lt;&gt;"W","",IF(TRIM(C375)&lt;&gt;"",TRIM(C375),IFERROR(LOOKUP(2,1/(N$9:N375="T"),D$9:D375),"")))</f>
        <v/>
      </c>
      <c r="N375" t="str">
        <f t="shared" si="17"/>
        <v/>
      </c>
      <c r="O375" t="str">
        <f>IF(M375="","",IF(COUNTIF(M$9:M375,M375)=1,MAX(O$8:O374)+1,""))</f>
        <v/>
      </c>
    </row>
    <row r="376" spans="1:15" x14ac:dyDescent="0.75">
      <c r="A376" s="24" t="str">
        <f>IF(N376="W",COUNTIF(N$9:N376,"W"),"")</f>
        <v/>
      </c>
      <c r="B376" s="25"/>
      <c r="C376" s="25"/>
      <c r="D376" s="26"/>
      <c r="E376" s="25"/>
      <c r="F376" s="27"/>
      <c r="G376" s="28"/>
      <c r="H376" s="28"/>
      <c r="I376" s="29" t="str">
        <f t="shared" si="15"/>
        <v/>
      </c>
      <c r="J376" s="30" t="str">
        <f t="shared" si="16"/>
        <v/>
      </c>
      <c r="K376" s="26"/>
      <c r="L376" s="24" t="str">
        <f>IF(N376="","",IF(N376="T","Título de capítulo",IF(OR(ISERROR(F376),ISERROR(G376),ISERROR(H376)),"Error en fórmula: pegá como valores",IF(AND(B376="",$C$6=""),"Falta sector",IF(M376="","Falta capítulo",IF(TRIM(E376)="","Falta unidad",IF(NOT((COUNTIF(Listas!$A$2:$A$40,E376)+COUNTIF(Listas!$D$2:$D$60,E376)&gt;0)),"Unidad no reconocida",IF(AND(F376&lt;&gt;"",NOT(ISNUMBER(F376))),"Cantidad no es número",IF(N(F376)&lt;=0,"Falta cantidad",IF(OR(AND(G376&lt;&gt;"",NOT(ISNUMBER(G376))),AND(H376&lt;&gt;"",NOT(ISNUMBER(H376)))),"Precio no es número",IF(N(G376)+N(H376)&lt;=0,"Falta precio","✓ OK")))))))))))</f>
        <v/>
      </c>
      <c r="M376" t="str">
        <f>IF(N376&lt;&gt;"W","",IF(TRIM(C376)&lt;&gt;"",TRIM(C376),IFERROR(LOOKUP(2,1/(N$9:N376="T"),D$9:D376),"")))</f>
        <v/>
      </c>
      <c r="N376" t="str">
        <f t="shared" si="17"/>
        <v/>
      </c>
      <c r="O376" t="str">
        <f>IF(M376="","",IF(COUNTIF(M$9:M376,M376)=1,MAX(O$8:O375)+1,""))</f>
        <v/>
      </c>
    </row>
    <row r="377" spans="1:15" x14ac:dyDescent="0.75">
      <c r="A377" s="24" t="str">
        <f>IF(N377="W",COUNTIF(N$9:N377,"W"),"")</f>
        <v/>
      </c>
      <c r="B377" s="25"/>
      <c r="C377" s="25"/>
      <c r="D377" s="26"/>
      <c r="E377" s="25"/>
      <c r="F377" s="27"/>
      <c r="G377" s="28"/>
      <c r="H377" s="28"/>
      <c r="I377" s="29" t="str">
        <f t="shared" si="15"/>
        <v/>
      </c>
      <c r="J377" s="30" t="str">
        <f t="shared" si="16"/>
        <v/>
      </c>
      <c r="K377" s="26"/>
      <c r="L377" s="24" t="str">
        <f>IF(N377="","",IF(N377="T","Título de capítulo",IF(OR(ISERROR(F377),ISERROR(G377),ISERROR(H377)),"Error en fórmula: pegá como valores",IF(AND(B377="",$C$6=""),"Falta sector",IF(M377="","Falta capítulo",IF(TRIM(E377)="","Falta unidad",IF(NOT((COUNTIF(Listas!$A$2:$A$40,E377)+COUNTIF(Listas!$D$2:$D$60,E377)&gt;0)),"Unidad no reconocida",IF(AND(F377&lt;&gt;"",NOT(ISNUMBER(F377))),"Cantidad no es número",IF(N(F377)&lt;=0,"Falta cantidad",IF(OR(AND(G377&lt;&gt;"",NOT(ISNUMBER(G377))),AND(H377&lt;&gt;"",NOT(ISNUMBER(H377)))),"Precio no es número",IF(N(G377)+N(H377)&lt;=0,"Falta precio","✓ OK")))))))))))</f>
        <v/>
      </c>
      <c r="M377" t="str">
        <f>IF(N377&lt;&gt;"W","",IF(TRIM(C377)&lt;&gt;"",TRIM(C377),IFERROR(LOOKUP(2,1/(N$9:N377="T"),D$9:D377),"")))</f>
        <v/>
      </c>
      <c r="N377" t="str">
        <f t="shared" si="17"/>
        <v/>
      </c>
      <c r="O377" t="str">
        <f>IF(M377="","",IF(COUNTIF(M$9:M377,M377)=1,MAX(O$8:O376)+1,""))</f>
        <v/>
      </c>
    </row>
    <row r="378" spans="1:15" x14ac:dyDescent="0.75">
      <c r="A378" s="24" t="str">
        <f>IF(N378="W",COUNTIF(N$9:N378,"W"),"")</f>
        <v/>
      </c>
      <c r="B378" s="25"/>
      <c r="C378" s="25"/>
      <c r="D378" s="26"/>
      <c r="E378" s="25"/>
      <c r="F378" s="27"/>
      <c r="G378" s="28"/>
      <c r="H378" s="28"/>
      <c r="I378" s="29" t="str">
        <f t="shared" si="15"/>
        <v/>
      </c>
      <c r="J378" s="30" t="str">
        <f t="shared" si="16"/>
        <v/>
      </c>
      <c r="K378" s="26"/>
      <c r="L378" s="24" t="str">
        <f>IF(N378="","",IF(N378="T","Título de capítulo",IF(OR(ISERROR(F378),ISERROR(G378),ISERROR(H378)),"Error en fórmula: pegá como valores",IF(AND(B378="",$C$6=""),"Falta sector",IF(M378="","Falta capítulo",IF(TRIM(E378)="","Falta unidad",IF(NOT((COUNTIF(Listas!$A$2:$A$40,E378)+COUNTIF(Listas!$D$2:$D$60,E378)&gt;0)),"Unidad no reconocida",IF(AND(F378&lt;&gt;"",NOT(ISNUMBER(F378))),"Cantidad no es número",IF(N(F378)&lt;=0,"Falta cantidad",IF(OR(AND(G378&lt;&gt;"",NOT(ISNUMBER(G378))),AND(H378&lt;&gt;"",NOT(ISNUMBER(H378)))),"Precio no es número",IF(N(G378)+N(H378)&lt;=0,"Falta precio","✓ OK")))))))))))</f>
        <v/>
      </c>
      <c r="M378" t="str">
        <f>IF(N378&lt;&gt;"W","",IF(TRIM(C378)&lt;&gt;"",TRIM(C378),IFERROR(LOOKUP(2,1/(N$9:N378="T"),D$9:D378),"")))</f>
        <v/>
      </c>
      <c r="N378" t="str">
        <f t="shared" si="17"/>
        <v/>
      </c>
      <c r="O378" t="str">
        <f>IF(M378="","",IF(COUNTIF(M$9:M378,M378)=1,MAX(O$8:O377)+1,""))</f>
        <v/>
      </c>
    </row>
    <row r="379" spans="1:15" x14ac:dyDescent="0.75">
      <c r="A379" s="24" t="str">
        <f>IF(N379="W",COUNTIF(N$9:N379,"W"),"")</f>
        <v/>
      </c>
      <c r="B379" s="25"/>
      <c r="C379" s="25"/>
      <c r="D379" s="26"/>
      <c r="E379" s="25"/>
      <c r="F379" s="27"/>
      <c r="G379" s="28"/>
      <c r="H379" s="28"/>
      <c r="I379" s="29" t="str">
        <f t="shared" si="15"/>
        <v/>
      </c>
      <c r="J379" s="30" t="str">
        <f t="shared" si="16"/>
        <v/>
      </c>
      <c r="K379" s="26"/>
      <c r="L379" s="24" t="str">
        <f>IF(N379="","",IF(N379="T","Título de capítulo",IF(OR(ISERROR(F379),ISERROR(G379),ISERROR(H379)),"Error en fórmula: pegá como valores",IF(AND(B379="",$C$6=""),"Falta sector",IF(M379="","Falta capítulo",IF(TRIM(E379)="","Falta unidad",IF(NOT((COUNTIF(Listas!$A$2:$A$40,E379)+COUNTIF(Listas!$D$2:$D$60,E379)&gt;0)),"Unidad no reconocida",IF(AND(F379&lt;&gt;"",NOT(ISNUMBER(F379))),"Cantidad no es número",IF(N(F379)&lt;=0,"Falta cantidad",IF(OR(AND(G379&lt;&gt;"",NOT(ISNUMBER(G379))),AND(H379&lt;&gt;"",NOT(ISNUMBER(H379)))),"Precio no es número",IF(N(G379)+N(H379)&lt;=0,"Falta precio","✓ OK")))))))))))</f>
        <v/>
      </c>
      <c r="M379" t="str">
        <f>IF(N379&lt;&gt;"W","",IF(TRIM(C379)&lt;&gt;"",TRIM(C379),IFERROR(LOOKUP(2,1/(N$9:N379="T"),D$9:D379),"")))</f>
        <v/>
      </c>
      <c r="N379" t="str">
        <f t="shared" si="17"/>
        <v/>
      </c>
      <c r="O379" t="str">
        <f>IF(M379="","",IF(COUNTIF(M$9:M379,M379)=1,MAX(O$8:O378)+1,""))</f>
        <v/>
      </c>
    </row>
    <row r="380" spans="1:15" x14ac:dyDescent="0.75">
      <c r="A380" s="24" t="str">
        <f>IF(N380="W",COUNTIF(N$9:N380,"W"),"")</f>
        <v/>
      </c>
      <c r="B380" s="25"/>
      <c r="C380" s="25"/>
      <c r="D380" s="26"/>
      <c r="E380" s="25"/>
      <c r="F380" s="27"/>
      <c r="G380" s="28"/>
      <c r="H380" s="28"/>
      <c r="I380" s="29" t="str">
        <f t="shared" si="15"/>
        <v/>
      </c>
      <c r="J380" s="30" t="str">
        <f t="shared" si="16"/>
        <v/>
      </c>
      <c r="K380" s="26"/>
      <c r="L380" s="24" t="str">
        <f>IF(N380="","",IF(N380="T","Título de capítulo",IF(OR(ISERROR(F380),ISERROR(G380),ISERROR(H380)),"Error en fórmula: pegá como valores",IF(AND(B380="",$C$6=""),"Falta sector",IF(M380="","Falta capítulo",IF(TRIM(E380)="","Falta unidad",IF(NOT((COUNTIF(Listas!$A$2:$A$40,E380)+COUNTIF(Listas!$D$2:$D$60,E380)&gt;0)),"Unidad no reconocida",IF(AND(F380&lt;&gt;"",NOT(ISNUMBER(F380))),"Cantidad no es número",IF(N(F380)&lt;=0,"Falta cantidad",IF(OR(AND(G380&lt;&gt;"",NOT(ISNUMBER(G380))),AND(H380&lt;&gt;"",NOT(ISNUMBER(H380)))),"Precio no es número",IF(N(G380)+N(H380)&lt;=0,"Falta precio","✓ OK")))))))))))</f>
        <v/>
      </c>
      <c r="M380" t="str">
        <f>IF(N380&lt;&gt;"W","",IF(TRIM(C380)&lt;&gt;"",TRIM(C380),IFERROR(LOOKUP(2,1/(N$9:N380="T"),D$9:D380),"")))</f>
        <v/>
      </c>
      <c r="N380" t="str">
        <f t="shared" si="17"/>
        <v/>
      </c>
      <c r="O380" t="str">
        <f>IF(M380="","",IF(COUNTIF(M$9:M380,M380)=1,MAX(O$8:O379)+1,""))</f>
        <v/>
      </c>
    </row>
    <row r="381" spans="1:15" x14ac:dyDescent="0.75">
      <c r="A381" s="24" t="str">
        <f>IF(N381="W",COUNTIF(N$9:N381,"W"),"")</f>
        <v/>
      </c>
      <c r="B381" s="25"/>
      <c r="C381" s="25"/>
      <c r="D381" s="26"/>
      <c r="E381" s="25"/>
      <c r="F381" s="27"/>
      <c r="G381" s="28"/>
      <c r="H381" s="28"/>
      <c r="I381" s="29" t="str">
        <f t="shared" si="15"/>
        <v/>
      </c>
      <c r="J381" s="30" t="str">
        <f t="shared" si="16"/>
        <v/>
      </c>
      <c r="K381" s="26"/>
      <c r="L381" s="24" t="str">
        <f>IF(N381="","",IF(N381="T","Título de capítulo",IF(OR(ISERROR(F381),ISERROR(G381),ISERROR(H381)),"Error en fórmula: pegá como valores",IF(AND(B381="",$C$6=""),"Falta sector",IF(M381="","Falta capítulo",IF(TRIM(E381)="","Falta unidad",IF(NOT((COUNTIF(Listas!$A$2:$A$40,E381)+COUNTIF(Listas!$D$2:$D$60,E381)&gt;0)),"Unidad no reconocida",IF(AND(F381&lt;&gt;"",NOT(ISNUMBER(F381))),"Cantidad no es número",IF(N(F381)&lt;=0,"Falta cantidad",IF(OR(AND(G381&lt;&gt;"",NOT(ISNUMBER(G381))),AND(H381&lt;&gt;"",NOT(ISNUMBER(H381)))),"Precio no es número",IF(N(G381)+N(H381)&lt;=0,"Falta precio","✓ OK")))))))))))</f>
        <v/>
      </c>
      <c r="M381" t="str">
        <f>IF(N381&lt;&gt;"W","",IF(TRIM(C381)&lt;&gt;"",TRIM(C381),IFERROR(LOOKUP(2,1/(N$9:N381="T"),D$9:D381),"")))</f>
        <v/>
      </c>
      <c r="N381" t="str">
        <f t="shared" si="17"/>
        <v/>
      </c>
      <c r="O381" t="str">
        <f>IF(M381="","",IF(COUNTIF(M$9:M381,M381)=1,MAX(O$8:O380)+1,""))</f>
        <v/>
      </c>
    </row>
    <row r="382" spans="1:15" x14ac:dyDescent="0.75">
      <c r="A382" s="24" t="str">
        <f>IF(N382="W",COUNTIF(N$9:N382,"W"),"")</f>
        <v/>
      </c>
      <c r="B382" s="25"/>
      <c r="C382" s="25"/>
      <c r="D382" s="26"/>
      <c r="E382" s="25"/>
      <c r="F382" s="27"/>
      <c r="G382" s="28"/>
      <c r="H382" s="28"/>
      <c r="I382" s="29" t="str">
        <f t="shared" si="15"/>
        <v/>
      </c>
      <c r="J382" s="30" t="str">
        <f t="shared" si="16"/>
        <v/>
      </c>
      <c r="K382" s="26"/>
      <c r="L382" s="24" t="str">
        <f>IF(N382="","",IF(N382="T","Título de capítulo",IF(OR(ISERROR(F382),ISERROR(G382),ISERROR(H382)),"Error en fórmula: pegá como valores",IF(AND(B382="",$C$6=""),"Falta sector",IF(M382="","Falta capítulo",IF(TRIM(E382)="","Falta unidad",IF(NOT((COUNTIF(Listas!$A$2:$A$40,E382)+COUNTIF(Listas!$D$2:$D$60,E382)&gt;0)),"Unidad no reconocida",IF(AND(F382&lt;&gt;"",NOT(ISNUMBER(F382))),"Cantidad no es número",IF(N(F382)&lt;=0,"Falta cantidad",IF(OR(AND(G382&lt;&gt;"",NOT(ISNUMBER(G382))),AND(H382&lt;&gt;"",NOT(ISNUMBER(H382)))),"Precio no es número",IF(N(G382)+N(H382)&lt;=0,"Falta precio","✓ OK")))))))))))</f>
        <v/>
      </c>
      <c r="M382" t="str">
        <f>IF(N382&lt;&gt;"W","",IF(TRIM(C382)&lt;&gt;"",TRIM(C382),IFERROR(LOOKUP(2,1/(N$9:N382="T"),D$9:D382),"")))</f>
        <v/>
      </c>
      <c r="N382" t="str">
        <f t="shared" si="17"/>
        <v/>
      </c>
      <c r="O382" t="str">
        <f>IF(M382="","",IF(COUNTIF(M$9:M382,M382)=1,MAX(O$8:O381)+1,""))</f>
        <v/>
      </c>
    </row>
    <row r="383" spans="1:15" x14ac:dyDescent="0.75">
      <c r="A383" s="24" t="str">
        <f>IF(N383="W",COUNTIF(N$9:N383,"W"),"")</f>
        <v/>
      </c>
      <c r="B383" s="25"/>
      <c r="C383" s="25"/>
      <c r="D383" s="26"/>
      <c r="E383" s="25"/>
      <c r="F383" s="27"/>
      <c r="G383" s="28"/>
      <c r="H383" s="28"/>
      <c r="I383" s="29" t="str">
        <f t="shared" si="15"/>
        <v/>
      </c>
      <c r="J383" s="30" t="str">
        <f t="shared" si="16"/>
        <v/>
      </c>
      <c r="K383" s="26"/>
      <c r="L383" s="24" t="str">
        <f>IF(N383="","",IF(N383="T","Título de capítulo",IF(OR(ISERROR(F383),ISERROR(G383),ISERROR(H383)),"Error en fórmula: pegá como valores",IF(AND(B383="",$C$6=""),"Falta sector",IF(M383="","Falta capítulo",IF(TRIM(E383)="","Falta unidad",IF(NOT((COUNTIF(Listas!$A$2:$A$40,E383)+COUNTIF(Listas!$D$2:$D$60,E383)&gt;0)),"Unidad no reconocida",IF(AND(F383&lt;&gt;"",NOT(ISNUMBER(F383))),"Cantidad no es número",IF(N(F383)&lt;=0,"Falta cantidad",IF(OR(AND(G383&lt;&gt;"",NOT(ISNUMBER(G383))),AND(H383&lt;&gt;"",NOT(ISNUMBER(H383)))),"Precio no es número",IF(N(G383)+N(H383)&lt;=0,"Falta precio","✓ OK")))))))))))</f>
        <v/>
      </c>
      <c r="M383" t="str">
        <f>IF(N383&lt;&gt;"W","",IF(TRIM(C383)&lt;&gt;"",TRIM(C383),IFERROR(LOOKUP(2,1/(N$9:N383="T"),D$9:D383),"")))</f>
        <v/>
      </c>
      <c r="N383" t="str">
        <f t="shared" si="17"/>
        <v/>
      </c>
      <c r="O383" t="str">
        <f>IF(M383="","",IF(COUNTIF(M$9:M383,M383)=1,MAX(O$8:O382)+1,""))</f>
        <v/>
      </c>
    </row>
    <row r="384" spans="1:15" x14ac:dyDescent="0.75">
      <c r="A384" s="24" t="str">
        <f>IF(N384="W",COUNTIF(N$9:N384,"W"),"")</f>
        <v/>
      </c>
      <c r="B384" s="25"/>
      <c r="C384" s="25"/>
      <c r="D384" s="26"/>
      <c r="E384" s="25"/>
      <c r="F384" s="27"/>
      <c r="G384" s="28"/>
      <c r="H384" s="28"/>
      <c r="I384" s="29" t="str">
        <f t="shared" si="15"/>
        <v/>
      </c>
      <c r="J384" s="30" t="str">
        <f t="shared" si="16"/>
        <v/>
      </c>
      <c r="K384" s="26"/>
      <c r="L384" s="24" t="str">
        <f>IF(N384="","",IF(N384="T","Título de capítulo",IF(OR(ISERROR(F384),ISERROR(G384),ISERROR(H384)),"Error en fórmula: pegá como valores",IF(AND(B384="",$C$6=""),"Falta sector",IF(M384="","Falta capítulo",IF(TRIM(E384)="","Falta unidad",IF(NOT((COUNTIF(Listas!$A$2:$A$40,E384)+COUNTIF(Listas!$D$2:$D$60,E384)&gt;0)),"Unidad no reconocida",IF(AND(F384&lt;&gt;"",NOT(ISNUMBER(F384))),"Cantidad no es número",IF(N(F384)&lt;=0,"Falta cantidad",IF(OR(AND(G384&lt;&gt;"",NOT(ISNUMBER(G384))),AND(H384&lt;&gt;"",NOT(ISNUMBER(H384)))),"Precio no es número",IF(N(G384)+N(H384)&lt;=0,"Falta precio","✓ OK")))))))))))</f>
        <v/>
      </c>
      <c r="M384" t="str">
        <f>IF(N384&lt;&gt;"W","",IF(TRIM(C384)&lt;&gt;"",TRIM(C384),IFERROR(LOOKUP(2,1/(N$9:N384="T"),D$9:D384),"")))</f>
        <v/>
      </c>
      <c r="N384" t="str">
        <f t="shared" si="17"/>
        <v/>
      </c>
      <c r="O384" t="str">
        <f>IF(M384="","",IF(COUNTIF(M$9:M384,M384)=1,MAX(O$8:O383)+1,""))</f>
        <v/>
      </c>
    </row>
    <row r="385" spans="1:15" x14ac:dyDescent="0.75">
      <c r="A385" s="24" t="str">
        <f>IF(N385="W",COUNTIF(N$9:N385,"W"),"")</f>
        <v/>
      </c>
      <c r="B385" s="25"/>
      <c r="C385" s="25"/>
      <c r="D385" s="26"/>
      <c r="E385" s="25"/>
      <c r="F385" s="27"/>
      <c r="G385" s="28"/>
      <c r="H385" s="28"/>
      <c r="I385" s="29" t="str">
        <f t="shared" si="15"/>
        <v/>
      </c>
      <c r="J385" s="30" t="str">
        <f t="shared" si="16"/>
        <v/>
      </c>
      <c r="K385" s="26"/>
      <c r="L385" s="24" t="str">
        <f>IF(N385="","",IF(N385="T","Título de capítulo",IF(OR(ISERROR(F385),ISERROR(G385),ISERROR(H385)),"Error en fórmula: pegá como valores",IF(AND(B385="",$C$6=""),"Falta sector",IF(M385="","Falta capítulo",IF(TRIM(E385)="","Falta unidad",IF(NOT((COUNTIF(Listas!$A$2:$A$40,E385)+COUNTIF(Listas!$D$2:$D$60,E385)&gt;0)),"Unidad no reconocida",IF(AND(F385&lt;&gt;"",NOT(ISNUMBER(F385))),"Cantidad no es número",IF(N(F385)&lt;=0,"Falta cantidad",IF(OR(AND(G385&lt;&gt;"",NOT(ISNUMBER(G385))),AND(H385&lt;&gt;"",NOT(ISNUMBER(H385)))),"Precio no es número",IF(N(G385)+N(H385)&lt;=0,"Falta precio","✓ OK")))))))))))</f>
        <v/>
      </c>
      <c r="M385" t="str">
        <f>IF(N385&lt;&gt;"W","",IF(TRIM(C385)&lt;&gt;"",TRIM(C385),IFERROR(LOOKUP(2,1/(N$9:N385="T"),D$9:D385),"")))</f>
        <v/>
      </c>
      <c r="N385" t="str">
        <f t="shared" si="17"/>
        <v/>
      </c>
      <c r="O385" t="str">
        <f>IF(M385="","",IF(COUNTIF(M$9:M385,M385)=1,MAX(O$8:O384)+1,""))</f>
        <v/>
      </c>
    </row>
    <row r="386" spans="1:15" x14ac:dyDescent="0.75">
      <c r="A386" s="24" t="str">
        <f>IF(N386="W",COUNTIF(N$9:N386,"W"),"")</f>
        <v/>
      </c>
      <c r="B386" s="25"/>
      <c r="C386" s="25"/>
      <c r="D386" s="26"/>
      <c r="E386" s="25"/>
      <c r="F386" s="27"/>
      <c r="G386" s="28"/>
      <c r="H386" s="28"/>
      <c r="I386" s="29" t="str">
        <f t="shared" si="15"/>
        <v/>
      </c>
      <c r="J386" s="30" t="str">
        <f t="shared" si="16"/>
        <v/>
      </c>
      <c r="K386" s="26"/>
      <c r="L386" s="24" t="str">
        <f>IF(N386="","",IF(N386="T","Título de capítulo",IF(OR(ISERROR(F386),ISERROR(G386),ISERROR(H386)),"Error en fórmula: pegá como valores",IF(AND(B386="",$C$6=""),"Falta sector",IF(M386="","Falta capítulo",IF(TRIM(E386)="","Falta unidad",IF(NOT((COUNTIF(Listas!$A$2:$A$40,E386)+COUNTIF(Listas!$D$2:$D$60,E386)&gt;0)),"Unidad no reconocida",IF(AND(F386&lt;&gt;"",NOT(ISNUMBER(F386))),"Cantidad no es número",IF(N(F386)&lt;=0,"Falta cantidad",IF(OR(AND(G386&lt;&gt;"",NOT(ISNUMBER(G386))),AND(H386&lt;&gt;"",NOT(ISNUMBER(H386)))),"Precio no es número",IF(N(G386)+N(H386)&lt;=0,"Falta precio","✓ OK")))))))))))</f>
        <v/>
      </c>
      <c r="M386" t="str">
        <f>IF(N386&lt;&gt;"W","",IF(TRIM(C386)&lt;&gt;"",TRIM(C386),IFERROR(LOOKUP(2,1/(N$9:N386="T"),D$9:D386),"")))</f>
        <v/>
      </c>
      <c r="N386" t="str">
        <f t="shared" si="17"/>
        <v/>
      </c>
      <c r="O386" t="str">
        <f>IF(M386="","",IF(COUNTIF(M$9:M386,M386)=1,MAX(O$8:O385)+1,""))</f>
        <v/>
      </c>
    </row>
    <row r="387" spans="1:15" x14ac:dyDescent="0.75">
      <c r="A387" s="24" t="str">
        <f>IF(N387="W",COUNTIF(N$9:N387,"W"),"")</f>
        <v/>
      </c>
      <c r="B387" s="25"/>
      <c r="C387" s="25"/>
      <c r="D387" s="26"/>
      <c r="E387" s="25"/>
      <c r="F387" s="27"/>
      <c r="G387" s="28"/>
      <c r="H387" s="28"/>
      <c r="I387" s="29" t="str">
        <f t="shared" si="15"/>
        <v/>
      </c>
      <c r="J387" s="30" t="str">
        <f t="shared" si="16"/>
        <v/>
      </c>
      <c r="K387" s="26"/>
      <c r="L387" s="24" t="str">
        <f>IF(N387="","",IF(N387="T","Título de capítulo",IF(OR(ISERROR(F387),ISERROR(G387),ISERROR(H387)),"Error en fórmula: pegá como valores",IF(AND(B387="",$C$6=""),"Falta sector",IF(M387="","Falta capítulo",IF(TRIM(E387)="","Falta unidad",IF(NOT((COUNTIF(Listas!$A$2:$A$40,E387)+COUNTIF(Listas!$D$2:$D$60,E387)&gt;0)),"Unidad no reconocida",IF(AND(F387&lt;&gt;"",NOT(ISNUMBER(F387))),"Cantidad no es número",IF(N(F387)&lt;=0,"Falta cantidad",IF(OR(AND(G387&lt;&gt;"",NOT(ISNUMBER(G387))),AND(H387&lt;&gt;"",NOT(ISNUMBER(H387)))),"Precio no es número",IF(N(G387)+N(H387)&lt;=0,"Falta precio","✓ OK")))))))))))</f>
        <v/>
      </c>
      <c r="M387" t="str">
        <f>IF(N387&lt;&gt;"W","",IF(TRIM(C387)&lt;&gt;"",TRIM(C387),IFERROR(LOOKUP(2,1/(N$9:N387="T"),D$9:D387),"")))</f>
        <v/>
      </c>
      <c r="N387" t="str">
        <f t="shared" si="17"/>
        <v/>
      </c>
      <c r="O387" t="str">
        <f>IF(M387="","",IF(COUNTIF(M$9:M387,M387)=1,MAX(O$8:O386)+1,""))</f>
        <v/>
      </c>
    </row>
    <row r="388" spans="1:15" x14ac:dyDescent="0.75">
      <c r="A388" s="24" t="str">
        <f>IF(N388="W",COUNTIF(N$9:N388,"W"),"")</f>
        <v/>
      </c>
      <c r="B388" s="25"/>
      <c r="C388" s="25"/>
      <c r="D388" s="26"/>
      <c r="E388" s="25"/>
      <c r="F388" s="27"/>
      <c r="G388" s="28"/>
      <c r="H388" s="28"/>
      <c r="I388" s="29" t="str">
        <f t="shared" si="15"/>
        <v/>
      </c>
      <c r="J388" s="30" t="str">
        <f t="shared" si="16"/>
        <v/>
      </c>
      <c r="K388" s="26"/>
      <c r="L388" s="24" t="str">
        <f>IF(N388="","",IF(N388="T","Título de capítulo",IF(OR(ISERROR(F388),ISERROR(G388),ISERROR(H388)),"Error en fórmula: pegá como valores",IF(AND(B388="",$C$6=""),"Falta sector",IF(M388="","Falta capítulo",IF(TRIM(E388)="","Falta unidad",IF(NOT((COUNTIF(Listas!$A$2:$A$40,E388)+COUNTIF(Listas!$D$2:$D$60,E388)&gt;0)),"Unidad no reconocida",IF(AND(F388&lt;&gt;"",NOT(ISNUMBER(F388))),"Cantidad no es número",IF(N(F388)&lt;=0,"Falta cantidad",IF(OR(AND(G388&lt;&gt;"",NOT(ISNUMBER(G388))),AND(H388&lt;&gt;"",NOT(ISNUMBER(H388)))),"Precio no es número",IF(N(G388)+N(H388)&lt;=0,"Falta precio","✓ OK")))))))))))</f>
        <v/>
      </c>
      <c r="M388" t="str">
        <f>IF(N388&lt;&gt;"W","",IF(TRIM(C388)&lt;&gt;"",TRIM(C388),IFERROR(LOOKUP(2,1/(N$9:N388="T"),D$9:D388),"")))</f>
        <v/>
      </c>
      <c r="N388" t="str">
        <f t="shared" si="17"/>
        <v/>
      </c>
      <c r="O388" t="str">
        <f>IF(M388="","",IF(COUNTIF(M$9:M388,M388)=1,MAX(O$8:O387)+1,""))</f>
        <v/>
      </c>
    </row>
    <row r="389" spans="1:15" x14ac:dyDescent="0.75">
      <c r="A389" s="24" t="str">
        <f>IF(N389="W",COUNTIF(N$9:N389,"W"),"")</f>
        <v/>
      </c>
      <c r="B389" s="25"/>
      <c r="C389" s="25"/>
      <c r="D389" s="26"/>
      <c r="E389" s="25"/>
      <c r="F389" s="27"/>
      <c r="G389" s="28"/>
      <c r="H389" s="28"/>
      <c r="I389" s="29" t="str">
        <f t="shared" si="15"/>
        <v/>
      </c>
      <c r="J389" s="30" t="str">
        <f t="shared" si="16"/>
        <v/>
      </c>
      <c r="K389" s="26"/>
      <c r="L389" s="24" t="str">
        <f>IF(N389="","",IF(N389="T","Título de capítulo",IF(OR(ISERROR(F389),ISERROR(G389),ISERROR(H389)),"Error en fórmula: pegá como valores",IF(AND(B389="",$C$6=""),"Falta sector",IF(M389="","Falta capítulo",IF(TRIM(E389)="","Falta unidad",IF(NOT((COUNTIF(Listas!$A$2:$A$40,E389)+COUNTIF(Listas!$D$2:$D$60,E389)&gt;0)),"Unidad no reconocida",IF(AND(F389&lt;&gt;"",NOT(ISNUMBER(F389))),"Cantidad no es número",IF(N(F389)&lt;=0,"Falta cantidad",IF(OR(AND(G389&lt;&gt;"",NOT(ISNUMBER(G389))),AND(H389&lt;&gt;"",NOT(ISNUMBER(H389)))),"Precio no es número",IF(N(G389)+N(H389)&lt;=0,"Falta precio","✓ OK")))))))))))</f>
        <v/>
      </c>
      <c r="M389" t="str">
        <f>IF(N389&lt;&gt;"W","",IF(TRIM(C389)&lt;&gt;"",TRIM(C389),IFERROR(LOOKUP(2,1/(N$9:N389="T"),D$9:D389),"")))</f>
        <v/>
      </c>
      <c r="N389" t="str">
        <f t="shared" si="17"/>
        <v/>
      </c>
      <c r="O389" t="str">
        <f>IF(M389="","",IF(COUNTIF(M$9:M389,M389)=1,MAX(O$8:O388)+1,""))</f>
        <v/>
      </c>
    </row>
    <row r="390" spans="1:15" x14ac:dyDescent="0.75">
      <c r="A390" s="24" t="str">
        <f>IF(N390="W",COUNTIF(N$9:N390,"W"),"")</f>
        <v/>
      </c>
      <c r="B390" s="25"/>
      <c r="C390" s="25"/>
      <c r="D390" s="26"/>
      <c r="E390" s="25"/>
      <c r="F390" s="27"/>
      <c r="G390" s="28"/>
      <c r="H390" s="28"/>
      <c r="I390" s="29" t="str">
        <f t="shared" si="15"/>
        <v/>
      </c>
      <c r="J390" s="30" t="str">
        <f t="shared" si="16"/>
        <v/>
      </c>
      <c r="K390" s="26"/>
      <c r="L390" s="24" t="str">
        <f>IF(N390="","",IF(N390="T","Título de capítulo",IF(OR(ISERROR(F390),ISERROR(G390),ISERROR(H390)),"Error en fórmula: pegá como valores",IF(AND(B390="",$C$6=""),"Falta sector",IF(M390="","Falta capítulo",IF(TRIM(E390)="","Falta unidad",IF(NOT((COUNTIF(Listas!$A$2:$A$40,E390)+COUNTIF(Listas!$D$2:$D$60,E390)&gt;0)),"Unidad no reconocida",IF(AND(F390&lt;&gt;"",NOT(ISNUMBER(F390))),"Cantidad no es número",IF(N(F390)&lt;=0,"Falta cantidad",IF(OR(AND(G390&lt;&gt;"",NOT(ISNUMBER(G390))),AND(H390&lt;&gt;"",NOT(ISNUMBER(H390)))),"Precio no es número",IF(N(G390)+N(H390)&lt;=0,"Falta precio","✓ OK")))))))))))</f>
        <v/>
      </c>
      <c r="M390" t="str">
        <f>IF(N390&lt;&gt;"W","",IF(TRIM(C390)&lt;&gt;"",TRIM(C390),IFERROR(LOOKUP(2,1/(N$9:N390="T"),D$9:D390),"")))</f>
        <v/>
      </c>
      <c r="N390" t="str">
        <f t="shared" si="17"/>
        <v/>
      </c>
      <c r="O390" t="str">
        <f>IF(M390="","",IF(COUNTIF(M$9:M390,M390)=1,MAX(O$8:O389)+1,""))</f>
        <v/>
      </c>
    </row>
    <row r="391" spans="1:15" x14ac:dyDescent="0.75">
      <c r="A391" s="24" t="str">
        <f>IF(N391="W",COUNTIF(N$9:N391,"W"),"")</f>
        <v/>
      </c>
      <c r="B391" s="25"/>
      <c r="C391" s="25"/>
      <c r="D391" s="26"/>
      <c r="E391" s="25"/>
      <c r="F391" s="27"/>
      <c r="G391" s="28"/>
      <c r="H391" s="28"/>
      <c r="I391" s="29" t="str">
        <f t="shared" si="15"/>
        <v/>
      </c>
      <c r="J391" s="30" t="str">
        <f t="shared" si="16"/>
        <v/>
      </c>
      <c r="K391" s="26"/>
      <c r="L391" s="24" t="str">
        <f>IF(N391="","",IF(N391="T","Título de capítulo",IF(OR(ISERROR(F391),ISERROR(G391),ISERROR(H391)),"Error en fórmula: pegá como valores",IF(AND(B391="",$C$6=""),"Falta sector",IF(M391="","Falta capítulo",IF(TRIM(E391)="","Falta unidad",IF(NOT((COUNTIF(Listas!$A$2:$A$40,E391)+COUNTIF(Listas!$D$2:$D$60,E391)&gt;0)),"Unidad no reconocida",IF(AND(F391&lt;&gt;"",NOT(ISNUMBER(F391))),"Cantidad no es número",IF(N(F391)&lt;=0,"Falta cantidad",IF(OR(AND(G391&lt;&gt;"",NOT(ISNUMBER(G391))),AND(H391&lt;&gt;"",NOT(ISNUMBER(H391)))),"Precio no es número",IF(N(G391)+N(H391)&lt;=0,"Falta precio","✓ OK")))))))))))</f>
        <v/>
      </c>
      <c r="M391" t="str">
        <f>IF(N391&lt;&gt;"W","",IF(TRIM(C391)&lt;&gt;"",TRIM(C391),IFERROR(LOOKUP(2,1/(N$9:N391="T"),D$9:D391),"")))</f>
        <v/>
      </c>
      <c r="N391" t="str">
        <f t="shared" si="17"/>
        <v/>
      </c>
      <c r="O391" t="str">
        <f>IF(M391="","",IF(COUNTIF(M$9:M391,M391)=1,MAX(O$8:O390)+1,""))</f>
        <v/>
      </c>
    </row>
    <row r="392" spans="1:15" x14ac:dyDescent="0.75">
      <c r="A392" s="24" t="str">
        <f>IF(N392="W",COUNTIF(N$9:N392,"W"),"")</f>
        <v/>
      </c>
      <c r="B392" s="25"/>
      <c r="C392" s="25"/>
      <c r="D392" s="26"/>
      <c r="E392" s="25"/>
      <c r="F392" s="27"/>
      <c r="G392" s="28"/>
      <c r="H392" s="28"/>
      <c r="I392" s="29" t="str">
        <f t="shared" si="15"/>
        <v/>
      </c>
      <c r="J392" s="30" t="str">
        <f t="shared" si="16"/>
        <v/>
      </c>
      <c r="K392" s="26"/>
      <c r="L392" s="24" t="str">
        <f>IF(N392="","",IF(N392="T","Título de capítulo",IF(OR(ISERROR(F392),ISERROR(G392),ISERROR(H392)),"Error en fórmula: pegá como valores",IF(AND(B392="",$C$6=""),"Falta sector",IF(M392="","Falta capítulo",IF(TRIM(E392)="","Falta unidad",IF(NOT((COUNTIF(Listas!$A$2:$A$40,E392)+COUNTIF(Listas!$D$2:$D$60,E392)&gt;0)),"Unidad no reconocida",IF(AND(F392&lt;&gt;"",NOT(ISNUMBER(F392))),"Cantidad no es número",IF(N(F392)&lt;=0,"Falta cantidad",IF(OR(AND(G392&lt;&gt;"",NOT(ISNUMBER(G392))),AND(H392&lt;&gt;"",NOT(ISNUMBER(H392)))),"Precio no es número",IF(N(G392)+N(H392)&lt;=0,"Falta precio","✓ OK")))))))))))</f>
        <v/>
      </c>
      <c r="M392" t="str">
        <f>IF(N392&lt;&gt;"W","",IF(TRIM(C392)&lt;&gt;"",TRIM(C392),IFERROR(LOOKUP(2,1/(N$9:N392="T"),D$9:D392),"")))</f>
        <v/>
      </c>
      <c r="N392" t="str">
        <f t="shared" si="17"/>
        <v/>
      </c>
      <c r="O392" t="str">
        <f>IF(M392="","",IF(COUNTIF(M$9:M392,M392)=1,MAX(O$8:O391)+1,""))</f>
        <v/>
      </c>
    </row>
    <row r="393" spans="1:15" x14ac:dyDescent="0.75">
      <c r="A393" s="24" t="str">
        <f>IF(N393="W",COUNTIF(N$9:N393,"W"),"")</f>
        <v/>
      </c>
      <c r="B393" s="25"/>
      <c r="C393" s="25"/>
      <c r="D393" s="26"/>
      <c r="E393" s="25"/>
      <c r="F393" s="27"/>
      <c r="G393" s="28"/>
      <c r="H393" s="28"/>
      <c r="I393" s="29" t="str">
        <f t="shared" ref="I393:I456" si="18">IF(N393="W",IFERROR(N(G393)+N(H393),0),"")</f>
        <v/>
      </c>
      <c r="J393" s="30" t="str">
        <f t="shared" ref="J393:J456" si="19">IF(N393="W",IFERROR(N(F393)*I393,0),"")</f>
        <v/>
      </c>
      <c r="K393" s="26"/>
      <c r="L393" s="24" t="str">
        <f>IF(N393="","",IF(N393="T","Título de capítulo",IF(OR(ISERROR(F393),ISERROR(G393),ISERROR(H393)),"Error en fórmula: pegá como valores",IF(AND(B393="",$C$6=""),"Falta sector",IF(M393="","Falta capítulo",IF(TRIM(E393)="","Falta unidad",IF(NOT((COUNTIF(Listas!$A$2:$A$40,E393)+COUNTIF(Listas!$D$2:$D$60,E393)&gt;0)),"Unidad no reconocida",IF(AND(F393&lt;&gt;"",NOT(ISNUMBER(F393))),"Cantidad no es número",IF(N(F393)&lt;=0,"Falta cantidad",IF(OR(AND(G393&lt;&gt;"",NOT(ISNUMBER(G393))),AND(H393&lt;&gt;"",NOT(ISNUMBER(H393)))),"Precio no es número",IF(N(G393)+N(H393)&lt;=0,"Falta precio","✓ OK")))))))))))</f>
        <v/>
      </c>
      <c r="M393" t="str">
        <f>IF(N393&lt;&gt;"W","",IF(TRIM(C393)&lt;&gt;"",TRIM(C393),IFERROR(LOOKUP(2,1/(N$9:N393="T"),D$9:D393),"")))</f>
        <v/>
      </c>
      <c r="N393" t="str">
        <f t="shared" ref="N393:N456" si="20">IF(TRIM(D393)="","",IF(AND(TRIM(E393)="",IFERROR(N(F393),1)=0,IFERROR(N(G393)+N(H393),1)=0),"T","W"))</f>
        <v/>
      </c>
      <c r="O393" t="str">
        <f>IF(M393="","",IF(COUNTIF(M$9:M393,M393)=1,MAX(O$8:O392)+1,""))</f>
        <v/>
      </c>
    </row>
    <row r="394" spans="1:15" x14ac:dyDescent="0.75">
      <c r="A394" s="24" t="str">
        <f>IF(N394="W",COUNTIF(N$9:N394,"W"),"")</f>
        <v/>
      </c>
      <c r="B394" s="25"/>
      <c r="C394" s="25"/>
      <c r="D394" s="26"/>
      <c r="E394" s="25"/>
      <c r="F394" s="27"/>
      <c r="G394" s="28"/>
      <c r="H394" s="28"/>
      <c r="I394" s="29" t="str">
        <f t="shared" si="18"/>
        <v/>
      </c>
      <c r="J394" s="30" t="str">
        <f t="shared" si="19"/>
        <v/>
      </c>
      <c r="K394" s="26"/>
      <c r="L394" s="24" t="str">
        <f>IF(N394="","",IF(N394="T","Título de capítulo",IF(OR(ISERROR(F394),ISERROR(G394),ISERROR(H394)),"Error en fórmula: pegá como valores",IF(AND(B394="",$C$6=""),"Falta sector",IF(M394="","Falta capítulo",IF(TRIM(E394)="","Falta unidad",IF(NOT((COUNTIF(Listas!$A$2:$A$40,E394)+COUNTIF(Listas!$D$2:$D$60,E394)&gt;0)),"Unidad no reconocida",IF(AND(F394&lt;&gt;"",NOT(ISNUMBER(F394))),"Cantidad no es número",IF(N(F394)&lt;=0,"Falta cantidad",IF(OR(AND(G394&lt;&gt;"",NOT(ISNUMBER(G394))),AND(H394&lt;&gt;"",NOT(ISNUMBER(H394)))),"Precio no es número",IF(N(G394)+N(H394)&lt;=0,"Falta precio","✓ OK")))))))))))</f>
        <v/>
      </c>
      <c r="M394" t="str">
        <f>IF(N394&lt;&gt;"W","",IF(TRIM(C394)&lt;&gt;"",TRIM(C394),IFERROR(LOOKUP(2,1/(N$9:N394="T"),D$9:D394),"")))</f>
        <v/>
      </c>
      <c r="N394" t="str">
        <f t="shared" si="20"/>
        <v/>
      </c>
      <c r="O394" t="str">
        <f>IF(M394="","",IF(COUNTIF(M$9:M394,M394)=1,MAX(O$8:O393)+1,""))</f>
        <v/>
      </c>
    </row>
    <row r="395" spans="1:15" x14ac:dyDescent="0.75">
      <c r="A395" s="24" t="str">
        <f>IF(N395="W",COUNTIF(N$9:N395,"W"),"")</f>
        <v/>
      </c>
      <c r="B395" s="25"/>
      <c r="C395" s="25"/>
      <c r="D395" s="26"/>
      <c r="E395" s="25"/>
      <c r="F395" s="27"/>
      <c r="G395" s="28"/>
      <c r="H395" s="28"/>
      <c r="I395" s="29" t="str">
        <f t="shared" si="18"/>
        <v/>
      </c>
      <c r="J395" s="30" t="str">
        <f t="shared" si="19"/>
        <v/>
      </c>
      <c r="K395" s="26"/>
      <c r="L395" s="24" t="str">
        <f>IF(N395="","",IF(N395="T","Título de capítulo",IF(OR(ISERROR(F395),ISERROR(G395),ISERROR(H395)),"Error en fórmula: pegá como valores",IF(AND(B395="",$C$6=""),"Falta sector",IF(M395="","Falta capítulo",IF(TRIM(E395)="","Falta unidad",IF(NOT((COUNTIF(Listas!$A$2:$A$40,E395)+COUNTIF(Listas!$D$2:$D$60,E395)&gt;0)),"Unidad no reconocida",IF(AND(F395&lt;&gt;"",NOT(ISNUMBER(F395))),"Cantidad no es número",IF(N(F395)&lt;=0,"Falta cantidad",IF(OR(AND(G395&lt;&gt;"",NOT(ISNUMBER(G395))),AND(H395&lt;&gt;"",NOT(ISNUMBER(H395)))),"Precio no es número",IF(N(G395)+N(H395)&lt;=0,"Falta precio","✓ OK")))))))))))</f>
        <v/>
      </c>
      <c r="M395" t="str">
        <f>IF(N395&lt;&gt;"W","",IF(TRIM(C395)&lt;&gt;"",TRIM(C395),IFERROR(LOOKUP(2,1/(N$9:N395="T"),D$9:D395),"")))</f>
        <v/>
      </c>
      <c r="N395" t="str">
        <f t="shared" si="20"/>
        <v/>
      </c>
      <c r="O395" t="str">
        <f>IF(M395="","",IF(COUNTIF(M$9:M395,M395)=1,MAX(O$8:O394)+1,""))</f>
        <v/>
      </c>
    </row>
    <row r="396" spans="1:15" x14ac:dyDescent="0.75">
      <c r="A396" s="24" t="str">
        <f>IF(N396="W",COUNTIF(N$9:N396,"W"),"")</f>
        <v/>
      </c>
      <c r="B396" s="25"/>
      <c r="C396" s="25"/>
      <c r="D396" s="26"/>
      <c r="E396" s="25"/>
      <c r="F396" s="27"/>
      <c r="G396" s="28"/>
      <c r="H396" s="28"/>
      <c r="I396" s="29" t="str">
        <f t="shared" si="18"/>
        <v/>
      </c>
      <c r="J396" s="30" t="str">
        <f t="shared" si="19"/>
        <v/>
      </c>
      <c r="K396" s="26"/>
      <c r="L396" s="24" t="str">
        <f>IF(N396="","",IF(N396="T","Título de capítulo",IF(OR(ISERROR(F396),ISERROR(G396),ISERROR(H396)),"Error en fórmula: pegá como valores",IF(AND(B396="",$C$6=""),"Falta sector",IF(M396="","Falta capítulo",IF(TRIM(E396)="","Falta unidad",IF(NOT((COUNTIF(Listas!$A$2:$A$40,E396)+COUNTIF(Listas!$D$2:$D$60,E396)&gt;0)),"Unidad no reconocida",IF(AND(F396&lt;&gt;"",NOT(ISNUMBER(F396))),"Cantidad no es número",IF(N(F396)&lt;=0,"Falta cantidad",IF(OR(AND(G396&lt;&gt;"",NOT(ISNUMBER(G396))),AND(H396&lt;&gt;"",NOT(ISNUMBER(H396)))),"Precio no es número",IF(N(G396)+N(H396)&lt;=0,"Falta precio","✓ OK")))))))))))</f>
        <v/>
      </c>
      <c r="M396" t="str">
        <f>IF(N396&lt;&gt;"W","",IF(TRIM(C396)&lt;&gt;"",TRIM(C396),IFERROR(LOOKUP(2,1/(N$9:N396="T"),D$9:D396),"")))</f>
        <v/>
      </c>
      <c r="N396" t="str">
        <f t="shared" si="20"/>
        <v/>
      </c>
      <c r="O396" t="str">
        <f>IF(M396="","",IF(COUNTIF(M$9:M396,M396)=1,MAX(O$8:O395)+1,""))</f>
        <v/>
      </c>
    </row>
    <row r="397" spans="1:15" x14ac:dyDescent="0.75">
      <c r="A397" s="24" t="str">
        <f>IF(N397="W",COUNTIF(N$9:N397,"W"),"")</f>
        <v/>
      </c>
      <c r="B397" s="25"/>
      <c r="C397" s="25"/>
      <c r="D397" s="26"/>
      <c r="E397" s="25"/>
      <c r="F397" s="27"/>
      <c r="G397" s="28"/>
      <c r="H397" s="28"/>
      <c r="I397" s="29" t="str">
        <f t="shared" si="18"/>
        <v/>
      </c>
      <c r="J397" s="30" t="str">
        <f t="shared" si="19"/>
        <v/>
      </c>
      <c r="K397" s="26"/>
      <c r="L397" s="24" t="str">
        <f>IF(N397="","",IF(N397="T","Título de capítulo",IF(OR(ISERROR(F397),ISERROR(G397),ISERROR(H397)),"Error en fórmula: pegá como valores",IF(AND(B397="",$C$6=""),"Falta sector",IF(M397="","Falta capítulo",IF(TRIM(E397)="","Falta unidad",IF(NOT((COUNTIF(Listas!$A$2:$A$40,E397)+COUNTIF(Listas!$D$2:$D$60,E397)&gt;0)),"Unidad no reconocida",IF(AND(F397&lt;&gt;"",NOT(ISNUMBER(F397))),"Cantidad no es número",IF(N(F397)&lt;=0,"Falta cantidad",IF(OR(AND(G397&lt;&gt;"",NOT(ISNUMBER(G397))),AND(H397&lt;&gt;"",NOT(ISNUMBER(H397)))),"Precio no es número",IF(N(G397)+N(H397)&lt;=0,"Falta precio","✓ OK")))))))))))</f>
        <v/>
      </c>
      <c r="M397" t="str">
        <f>IF(N397&lt;&gt;"W","",IF(TRIM(C397)&lt;&gt;"",TRIM(C397),IFERROR(LOOKUP(2,1/(N$9:N397="T"),D$9:D397),"")))</f>
        <v/>
      </c>
      <c r="N397" t="str">
        <f t="shared" si="20"/>
        <v/>
      </c>
      <c r="O397" t="str">
        <f>IF(M397="","",IF(COUNTIF(M$9:M397,M397)=1,MAX(O$8:O396)+1,""))</f>
        <v/>
      </c>
    </row>
    <row r="398" spans="1:15" x14ac:dyDescent="0.75">
      <c r="A398" s="24" t="str">
        <f>IF(N398="W",COUNTIF(N$9:N398,"W"),"")</f>
        <v/>
      </c>
      <c r="B398" s="25"/>
      <c r="C398" s="25"/>
      <c r="D398" s="26"/>
      <c r="E398" s="25"/>
      <c r="F398" s="27"/>
      <c r="G398" s="28"/>
      <c r="H398" s="28"/>
      <c r="I398" s="29" t="str">
        <f t="shared" si="18"/>
        <v/>
      </c>
      <c r="J398" s="30" t="str">
        <f t="shared" si="19"/>
        <v/>
      </c>
      <c r="K398" s="26"/>
      <c r="L398" s="24" t="str">
        <f>IF(N398="","",IF(N398="T","Título de capítulo",IF(OR(ISERROR(F398),ISERROR(G398),ISERROR(H398)),"Error en fórmula: pegá como valores",IF(AND(B398="",$C$6=""),"Falta sector",IF(M398="","Falta capítulo",IF(TRIM(E398)="","Falta unidad",IF(NOT((COUNTIF(Listas!$A$2:$A$40,E398)+COUNTIF(Listas!$D$2:$D$60,E398)&gt;0)),"Unidad no reconocida",IF(AND(F398&lt;&gt;"",NOT(ISNUMBER(F398))),"Cantidad no es número",IF(N(F398)&lt;=0,"Falta cantidad",IF(OR(AND(G398&lt;&gt;"",NOT(ISNUMBER(G398))),AND(H398&lt;&gt;"",NOT(ISNUMBER(H398)))),"Precio no es número",IF(N(G398)+N(H398)&lt;=0,"Falta precio","✓ OK")))))))))))</f>
        <v/>
      </c>
      <c r="M398" t="str">
        <f>IF(N398&lt;&gt;"W","",IF(TRIM(C398)&lt;&gt;"",TRIM(C398),IFERROR(LOOKUP(2,1/(N$9:N398="T"),D$9:D398),"")))</f>
        <v/>
      </c>
      <c r="N398" t="str">
        <f t="shared" si="20"/>
        <v/>
      </c>
      <c r="O398" t="str">
        <f>IF(M398="","",IF(COUNTIF(M$9:M398,M398)=1,MAX(O$8:O397)+1,""))</f>
        <v/>
      </c>
    </row>
    <row r="399" spans="1:15" x14ac:dyDescent="0.75">
      <c r="A399" s="24" t="str">
        <f>IF(N399="W",COUNTIF(N$9:N399,"W"),"")</f>
        <v/>
      </c>
      <c r="B399" s="25"/>
      <c r="C399" s="25"/>
      <c r="D399" s="26"/>
      <c r="E399" s="25"/>
      <c r="F399" s="27"/>
      <c r="G399" s="28"/>
      <c r="H399" s="28"/>
      <c r="I399" s="29" t="str">
        <f t="shared" si="18"/>
        <v/>
      </c>
      <c r="J399" s="30" t="str">
        <f t="shared" si="19"/>
        <v/>
      </c>
      <c r="K399" s="26"/>
      <c r="L399" s="24" t="str">
        <f>IF(N399="","",IF(N399="T","Título de capítulo",IF(OR(ISERROR(F399),ISERROR(G399),ISERROR(H399)),"Error en fórmula: pegá como valores",IF(AND(B399="",$C$6=""),"Falta sector",IF(M399="","Falta capítulo",IF(TRIM(E399)="","Falta unidad",IF(NOT((COUNTIF(Listas!$A$2:$A$40,E399)+COUNTIF(Listas!$D$2:$D$60,E399)&gt;0)),"Unidad no reconocida",IF(AND(F399&lt;&gt;"",NOT(ISNUMBER(F399))),"Cantidad no es número",IF(N(F399)&lt;=0,"Falta cantidad",IF(OR(AND(G399&lt;&gt;"",NOT(ISNUMBER(G399))),AND(H399&lt;&gt;"",NOT(ISNUMBER(H399)))),"Precio no es número",IF(N(G399)+N(H399)&lt;=0,"Falta precio","✓ OK")))))))))))</f>
        <v/>
      </c>
      <c r="M399" t="str">
        <f>IF(N399&lt;&gt;"W","",IF(TRIM(C399)&lt;&gt;"",TRIM(C399),IFERROR(LOOKUP(2,1/(N$9:N399="T"),D$9:D399),"")))</f>
        <v/>
      </c>
      <c r="N399" t="str">
        <f t="shared" si="20"/>
        <v/>
      </c>
      <c r="O399" t="str">
        <f>IF(M399="","",IF(COUNTIF(M$9:M399,M399)=1,MAX(O$8:O398)+1,""))</f>
        <v/>
      </c>
    </row>
    <row r="400" spans="1:15" x14ac:dyDescent="0.75">
      <c r="A400" s="24" t="str">
        <f>IF(N400="W",COUNTIF(N$9:N400,"W"),"")</f>
        <v/>
      </c>
      <c r="B400" s="25"/>
      <c r="C400" s="25"/>
      <c r="D400" s="26"/>
      <c r="E400" s="25"/>
      <c r="F400" s="27"/>
      <c r="G400" s="28"/>
      <c r="H400" s="28"/>
      <c r="I400" s="29" t="str">
        <f t="shared" si="18"/>
        <v/>
      </c>
      <c r="J400" s="30" t="str">
        <f t="shared" si="19"/>
        <v/>
      </c>
      <c r="K400" s="26"/>
      <c r="L400" s="24" t="str">
        <f>IF(N400="","",IF(N400="T","Título de capítulo",IF(OR(ISERROR(F400),ISERROR(G400),ISERROR(H400)),"Error en fórmula: pegá como valores",IF(AND(B400="",$C$6=""),"Falta sector",IF(M400="","Falta capítulo",IF(TRIM(E400)="","Falta unidad",IF(NOT((COUNTIF(Listas!$A$2:$A$40,E400)+COUNTIF(Listas!$D$2:$D$60,E400)&gt;0)),"Unidad no reconocida",IF(AND(F400&lt;&gt;"",NOT(ISNUMBER(F400))),"Cantidad no es número",IF(N(F400)&lt;=0,"Falta cantidad",IF(OR(AND(G400&lt;&gt;"",NOT(ISNUMBER(G400))),AND(H400&lt;&gt;"",NOT(ISNUMBER(H400)))),"Precio no es número",IF(N(G400)+N(H400)&lt;=0,"Falta precio","✓ OK")))))))))))</f>
        <v/>
      </c>
      <c r="M400" t="str">
        <f>IF(N400&lt;&gt;"W","",IF(TRIM(C400)&lt;&gt;"",TRIM(C400),IFERROR(LOOKUP(2,1/(N$9:N400="T"),D$9:D400),"")))</f>
        <v/>
      </c>
      <c r="N400" t="str">
        <f t="shared" si="20"/>
        <v/>
      </c>
      <c r="O400" t="str">
        <f>IF(M400="","",IF(COUNTIF(M$9:M400,M400)=1,MAX(O$8:O399)+1,""))</f>
        <v/>
      </c>
    </row>
    <row r="401" spans="1:15" x14ac:dyDescent="0.75">
      <c r="A401" s="24" t="str">
        <f>IF(N401="W",COUNTIF(N$9:N401,"W"),"")</f>
        <v/>
      </c>
      <c r="B401" s="25"/>
      <c r="C401" s="25"/>
      <c r="D401" s="26"/>
      <c r="E401" s="25"/>
      <c r="F401" s="27"/>
      <c r="G401" s="28"/>
      <c r="H401" s="28"/>
      <c r="I401" s="29" t="str">
        <f t="shared" si="18"/>
        <v/>
      </c>
      <c r="J401" s="30" t="str">
        <f t="shared" si="19"/>
        <v/>
      </c>
      <c r="K401" s="26"/>
      <c r="L401" s="24" t="str">
        <f>IF(N401="","",IF(N401="T","Título de capítulo",IF(OR(ISERROR(F401),ISERROR(G401),ISERROR(H401)),"Error en fórmula: pegá como valores",IF(AND(B401="",$C$6=""),"Falta sector",IF(M401="","Falta capítulo",IF(TRIM(E401)="","Falta unidad",IF(NOT((COUNTIF(Listas!$A$2:$A$40,E401)+COUNTIF(Listas!$D$2:$D$60,E401)&gt;0)),"Unidad no reconocida",IF(AND(F401&lt;&gt;"",NOT(ISNUMBER(F401))),"Cantidad no es número",IF(N(F401)&lt;=0,"Falta cantidad",IF(OR(AND(G401&lt;&gt;"",NOT(ISNUMBER(G401))),AND(H401&lt;&gt;"",NOT(ISNUMBER(H401)))),"Precio no es número",IF(N(G401)+N(H401)&lt;=0,"Falta precio","✓ OK")))))))))))</f>
        <v/>
      </c>
      <c r="M401" t="str">
        <f>IF(N401&lt;&gt;"W","",IF(TRIM(C401)&lt;&gt;"",TRIM(C401),IFERROR(LOOKUP(2,1/(N$9:N401="T"),D$9:D401),"")))</f>
        <v/>
      </c>
      <c r="N401" t="str">
        <f t="shared" si="20"/>
        <v/>
      </c>
      <c r="O401" t="str">
        <f>IF(M401="","",IF(COUNTIF(M$9:M401,M401)=1,MAX(O$8:O400)+1,""))</f>
        <v/>
      </c>
    </row>
    <row r="402" spans="1:15" x14ac:dyDescent="0.75">
      <c r="A402" s="24" t="str">
        <f>IF(N402="W",COUNTIF(N$9:N402,"W"),"")</f>
        <v/>
      </c>
      <c r="B402" s="25"/>
      <c r="C402" s="25"/>
      <c r="D402" s="26"/>
      <c r="E402" s="25"/>
      <c r="F402" s="27"/>
      <c r="G402" s="28"/>
      <c r="H402" s="28"/>
      <c r="I402" s="29" t="str">
        <f t="shared" si="18"/>
        <v/>
      </c>
      <c r="J402" s="30" t="str">
        <f t="shared" si="19"/>
        <v/>
      </c>
      <c r="K402" s="26"/>
      <c r="L402" s="24" t="str">
        <f>IF(N402="","",IF(N402="T","Título de capítulo",IF(OR(ISERROR(F402),ISERROR(G402),ISERROR(H402)),"Error en fórmula: pegá como valores",IF(AND(B402="",$C$6=""),"Falta sector",IF(M402="","Falta capítulo",IF(TRIM(E402)="","Falta unidad",IF(NOT((COUNTIF(Listas!$A$2:$A$40,E402)+COUNTIF(Listas!$D$2:$D$60,E402)&gt;0)),"Unidad no reconocida",IF(AND(F402&lt;&gt;"",NOT(ISNUMBER(F402))),"Cantidad no es número",IF(N(F402)&lt;=0,"Falta cantidad",IF(OR(AND(G402&lt;&gt;"",NOT(ISNUMBER(G402))),AND(H402&lt;&gt;"",NOT(ISNUMBER(H402)))),"Precio no es número",IF(N(G402)+N(H402)&lt;=0,"Falta precio","✓ OK")))))))))))</f>
        <v/>
      </c>
      <c r="M402" t="str">
        <f>IF(N402&lt;&gt;"W","",IF(TRIM(C402)&lt;&gt;"",TRIM(C402),IFERROR(LOOKUP(2,1/(N$9:N402="T"),D$9:D402),"")))</f>
        <v/>
      </c>
      <c r="N402" t="str">
        <f t="shared" si="20"/>
        <v/>
      </c>
      <c r="O402" t="str">
        <f>IF(M402="","",IF(COUNTIF(M$9:M402,M402)=1,MAX(O$8:O401)+1,""))</f>
        <v/>
      </c>
    </row>
    <row r="403" spans="1:15" x14ac:dyDescent="0.75">
      <c r="A403" s="24" t="str">
        <f>IF(N403="W",COUNTIF(N$9:N403,"W"),"")</f>
        <v/>
      </c>
      <c r="B403" s="25"/>
      <c r="C403" s="25"/>
      <c r="D403" s="26"/>
      <c r="E403" s="25"/>
      <c r="F403" s="27"/>
      <c r="G403" s="28"/>
      <c r="H403" s="28"/>
      <c r="I403" s="29" t="str">
        <f t="shared" si="18"/>
        <v/>
      </c>
      <c r="J403" s="30" t="str">
        <f t="shared" si="19"/>
        <v/>
      </c>
      <c r="K403" s="26"/>
      <c r="L403" s="24" t="str">
        <f>IF(N403="","",IF(N403="T","Título de capítulo",IF(OR(ISERROR(F403),ISERROR(G403),ISERROR(H403)),"Error en fórmula: pegá como valores",IF(AND(B403="",$C$6=""),"Falta sector",IF(M403="","Falta capítulo",IF(TRIM(E403)="","Falta unidad",IF(NOT((COUNTIF(Listas!$A$2:$A$40,E403)+COUNTIF(Listas!$D$2:$D$60,E403)&gt;0)),"Unidad no reconocida",IF(AND(F403&lt;&gt;"",NOT(ISNUMBER(F403))),"Cantidad no es número",IF(N(F403)&lt;=0,"Falta cantidad",IF(OR(AND(G403&lt;&gt;"",NOT(ISNUMBER(G403))),AND(H403&lt;&gt;"",NOT(ISNUMBER(H403)))),"Precio no es número",IF(N(G403)+N(H403)&lt;=0,"Falta precio","✓ OK")))))))))))</f>
        <v/>
      </c>
      <c r="M403" t="str">
        <f>IF(N403&lt;&gt;"W","",IF(TRIM(C403)&lt;&gt;"",TRIM(C403),IFERROR(LOOKUP(2,1/(N$9:N403="T"),D$9:D403),"")))</f>
        <v/>
      </c>
      <c r="N403" t="str">
        <f t="shared" si="20"/>
        <v/>
      </c>
      <c r="O403" t="str">
        <f>IF(M403="","",IF(COUNTIF(M$9:M403,M403)=1,MAX(O$8:O402)+1,""))</f>
        <v/>
      </c>
    </row>
    <row r="404" spans="1:15" x14ac:dyDescent="0.75">
      <c r="A404" s="24" t="str">
        <f>IF(N404="W",COUNTIF(N$9:N404,"W"),"")</f>
        <v/>
      </c>
      <c r="B404" s="25"/>
      <c r="C404" s="25"/>
      <c r="D404" s="26"/>
      <c r="E404" s="25"/>
      <c r="F404" s="27"/>
      <c r="G404" s="28"/>
      <c r="H404" s="28"/>
      <c r="I404" s="29" t="str">
        <f t="shared" si="18"/>
        <v/>
      </c>
      <c r="J404" s="30" t="str">
        <f t="shared" si="19"/>
        <v/>
      </c>
      <c r="K404" s="26"/>
      <c r="L404" s="24" t="str">
        <f>IF(N404="","",IF(N404="T","Título de capítulo",IF(OR(ISERROR(F404),ISERROR(G404),ISERROR(H404)),"Error en fórmula: pegá como valores",IF(AND(B404="",$C$6=""),"Falta sector",IF(M404="","Falta capítulo",IF(TRIM(E404)="","Falta unidad",IF(NOT((COUNTIF(Listas!$A$2:$A$40,E404)+COUNTIF(Listas!$D$2:$D$60,E404)&gt;0)),"Unidad no reconocida",IF(AND(F404&lt;&gt;"",NOT(ISNUMBER(F404))),"Cantidad no es número",IF(N(F404)&lt;=0,"Falta cantidad",IF(OR(AND(G404&lt;&gt;"",NOT(ISNUMBER(G404))),AND(H404&lt;&gt;"",NOT(ISNUMBER(H404)))),"Precio no es número",IF(N(G404)+N(H404)&lt;=0,"Falta precio","✓ OK")))))))))))</f>
        <v/>
      </c>
      <c r="M404" t="str">
        <f>IF(N404&lt;&gt;"W","",IF(TRIM(C404)&lt;&gt;"",TRIM(C404),IFERROR(LOOKUP(2,1/(N$9:N404="T"),D$9:D404),"")))</f>
        <v/>
      </c>
      <c r="N404" t="str">
        <f t="shared" si="20"/>
        <v/>
      </c>
      <c r="O404" t="str">
        <f>IF(M404="","",IF(COUNTIF(M$9:M404,M404)=1,MAX(O$8:O403)+1,""))</f>
        <v/>
      </c>
    </row>
    <row r="405" spans="1:15" x14ac:dyDescent="0.75">
      <c r="A405" s="24" t="str">
        <f>IF(N405="W",COUNTIF(N$9:N405,"W"),"")</f>
        <v/>
      </c>
      <c r="B405" s="25"/>
      <c r="C405" s="25"/>
      <c r="D405" s="26"/>
      <c r="E405" s="25"/>
      <c r="F405" s="27"/>
      <c r="G405" s="28"/>
      <c r="H405" s="28"/>
      <c r="I405" s="29" t="str">
        <f t="shared" si="18"/>
        <v/>
      </c>
      <c r="J405" s="30" t="str">
        <f t="shared" si="19"/>
        <v/>
      </c>
      <c r="K405" s="26"/>
      <c r="L405" s="24" t="str">
        <f>IF(N405="","",IF(N405="T","Título de capítulo",IF(OR(ISERROR(F405),ISERROR(G405),ISERROR(H405)),"Error en fórmula: pegá como valores",IF(AND(B405="",$C$6=""),"Falta sector",IF(M405="","Falta capítulo",IF(TRIM(E405)="","Falta unidad",IF(NOT((COUNTIF(Listas!$A$2:$A$40,E405)+COUNTIF(Listas!$D$2:$D$60,E405)&gt;0)),"Unidad no reconocida",IF(AND(F405&lt;&gt;"",NOT(ISNUMBER(F405))),"Cantidad no es número",IF(N(F405)&lt;=0,"Falta cantidad",IF(OR(AND(G405&lt;&gt;"",NOT(ISNUMBER(G405))),AND(H405&lt;&gt;"",NOT(ISNUMBER(H405)))),"Precio no es número",IF(N(G405)+N(H405)&lt;=0,"Falta precio","✓ OK")))))))))))</f>
        <v/>
      </c>
      <c r="M405" t="str">
        <f>IF(N405&lt;&gt;"W","",IF(TRIM(C405)&lt;&gt;"",TRIM(C405),IFERROR(LOOKUP(2,1/(N$9:N405="T"),D$9:D405),"")))</f>
        <v/>
      </c>
      <c r="N405" t="str">
        <f t="shared" si="20"/>
        <v/>
      </c>
      <c r="O405" t="str">
        <f>IF(M405="","",IF(COUNTIF(M$9:M405,M405)=1,MAX(O$8:O404)+1,""))</f>
        <v/>
      </c>
    </row>
    <row r="406" spans="1:15" x14ac:dyDescent="0.75">
      <c r="A406" s="24" t="str">
        <f>IF(N406="W",COUNTIF(N$9:N406,"W"),"")</f>
        <v/>
      </c>
      <c r="B406" s="25"/>
      <c r="C406" s="25"/>
      <c r="D406" s="26"/>
      <c r="E406" s="25"/>
      <c r="F406" s="27"/>
      <c r="G406" s="28"/>
      <c r="H406" s="28"/>
      <c r="I406" s="29" t="str">
        <f t="shared" si="18"/>
        <v/>
      </c>
      <c r="J406" s="30" t="str">
        <f t="shared" si="19"/>
        <v/>
      </c>
      <c r="K406" s="26"/>
      <c r="L406" s="24" t="str">
        <f>IF(N406="","",IF(N406="T","Título de capítulo",IF(OR(ISERROR(F406),ISERROR(G406),ISERROR(H406)),"Error en fórmula: pegá como valores",IF(AND(B406="",$C$6=""),"Falta sector",IF(M406="","Falta capítulo",IF(TRIM(E406)="","Falta unidad",IF(NOT((COUNTIF(Listas!$A$2:$A$40,E406)+COUNTIF(Listas!$D$2:$D$60,E406)&gt;0)),"Unidad no reconocida",IF(AND(F406&lt;&gt;"",NOT(ISNUMBER(F406))),"Cantidad no es número",IF(N(F406)&lt;=0,"Falta cantidad",IF(OR(AND(G406&lt;&gt;"",NOT(ISNUMBER(G406))),AND(H406&lt;&gt;"",NOT(ISNUMBER(H406)))),"Precio no es número",IF(N(G406)+N(H406)&lt;=0,"Falta precio","✓ OK")))))))))))</f>
        <v/>
      </c>
      <c r="M406" t="str">
        <f>IF(N406&lt;&gt;"W","",IF(TRIM(C406)&lt;&gt;"",TRIM(C406),IFERROR(LOOKUP(2,1/(N$9:N406="T"),D$9:D406),"")))</f>
        <v/>
      </c>
      <c r="N406" t="str">
        <f t="shared" si="20"/>
        <v/>
      </c>
      <c r="O406" t="str">
        <f>IF(M406="","",IF(COUNTIF(M$9:M406,M406)=1,MAX(O$8:O405)+1,""))</f>
        <v/>
      </c>
    </row>
    <row r="407" spans="1:15" x14ac:dyDescent="0.75">
      <c r="A407" s="24" t="str">
        <f>IF(N407="W",COUNTIF(N$9:N407,"W"),"")</f>
        <v/>
      </c>
      <c r="B407" s="25"/>
      <c r="C407" s="25"/>
      <c r="D407" s="26"/>
      <c r="E407" s="25"/>
      <c r="F407" s="27"/>
      <c r="G407" s="28"/>
      <c r="H407" s="28"/>
      <c r="I407" s="29" t="str">
        <f t="shared" si="18"/>
        <v/>
      </c>
      <c r="J407" s="30" t="str">
        <f t="shared" si="19"/>
        <v/>
      </c>
      <c r="K407" s="26"/>
      <c r="L407" s="24" t="str">
        <f>IF(N407="","",IF(N407="T","Título de capítulo",IF(OR(ISERROR(F407),ISERROR(G407),ISERROR(H407)),"Error en fórmula: pegá como valores",IF(AND(B407="",$C$6=""),"Falta sector",IF(M407="","Falta capítulo",IF(TRIM(E407)="","Falta unidad",IF(NOT((COUNTIF(Listas!$A$2:$A$40,E407)+COUNTIF(Listas!$D$2:$D$60,E407)&gt;0)),"Unidad no reconocida",IF(AND(F407&lt;&gt;"",NOT(ISNUMBER(F407))),"Cantidad no es número",IF(N(F407)&lt;=0,"Falta cantidad",IF(OR(AND(G407&lt;&gt;"",NOT(ISNUMBER(G407))),AND(H407&lt;&gt;"",NOT(ISNUMBER(H407)))),"Precio no es número",IF(N(G407)+N(H407)&lt;=0,"Falta precio","✓ OK")))))))))))</f>
        <v/>
      </c>
      <c r="M407" t="str">
        <f>IF(N407&lt;&gt;"W","",IF(TRIM(C407)&lt;&gt;"",TRIM(C407),IFERROR(LOOKUP(2,1/(N$9:N407="T"),D$9:D407),"")))</f>
        <v/>
      </c>
      <c r="N407" t="str">
        <f t="shared" si="20"/>
        <v/>
      </c>
      <c r="O407" t="str">
        <f>IF(M407="","",IF(COUNTIF(M$9:M407,M407)=1,MAX(O$8:O406)+1,""))</f>
        <v/>
      </c>
    </row>
    <row r="408" spans="1:15" x14ac:dyDescent="0.75">
      <c r="A408" s="24" t="str">
        <f>IF(N408="W",COUNTIF(N$9:N408,"W"),"")</f>
        <v/>
      </c>
      <c r="B408" s="25"/>
      <c r="C408" s="25"/>
      <c r="D408" s="26"/>
      <c r="E408" s="25"/>
      <c r="F408" s="27"/>
      <c r="G408" s="28"/>
      <c r="H408" s="28"/>
      <c r="I408" s="29" t="str">
        <f t="shared" si="18"/>
        <v/>
      </c>
      <c r="J408" s="30" t="str">
        <f t="shared" si="19"/>
        <v/>
      </c>
      <c r="K408" s="26"/>
      <c r="L408" s="24" t="str">
        <f>IF(N408="","",IF(N408="T","Título de capítulo",IF(OR(ISERROR(F408),ISERROR(G408),ISERROR(H408)),"Error en fórmula: pegá como valores",IF(AND(B408="",$C$6=""),"Falta sector",IF(M408="","Falta capítulo",IF(TRIM(E408)="","Falta unidad",IF(NOT((COUNTIF(Listas!$A$2:$A$40,E408)+COUNTIF(Listas!$D$2:$D$60,E408)&gt;0)),"Unidad no reconocida",IF(AND(F408&lt;&gt;"",NOT(ISNUMBER(F408))),"Cantidad no es número",IF(N(F408)&lt;=0,"Falta cantidad",IF(OR(AND(G408&lt;&gt;"",NOT(ISNUMBER(G408))),AND(H408&lt;&gt;"",NOT(ISNUMBER(H408)))),"Precio no es número",IF(N(G408)+N(H408)&lt;=0,"Falta precio","✓ OK")))))))))))</f>
        <v/>
      </c>
      <c r="M408" t="str">
        <f>IF(N408&lt;&gt;"W","",IF(TRIM(C408)&lt;&gt;"",TRIM(C408),IFERROR(LOOKUP(2,1/(N$9:N408="T"),D$9:D408),"")))</f>
        <v/>
      </c>
      <c r="N408" t="str">
        <f t="shared" si="20"/>
        <v/>
      </c>
      <c r="O408" t="str">
        <f>IF(M408="","",IF(COUNTIF(M$9:M408,M408)=1,MAX(O$8:O407)+1,""))</f>
        <v/>
      </c>
    </row>
    <row r="409" spans="1:15" x14ac:dyDescent="0.75">
      <c r="A409" s="24" t="str">
        <f>IF(N409="W",COUNTIF(N$9:N409,"W"),"")</f>
        <v/>
      </c>
      <c r="B409" s="25"/>
      <c r="C409" s="25"/>
      <c r="D409" s="26"/>
      <c r="E409" s="25"/>
      <c r="F409" s="27"/>
      <c r="G409" s="28"/>
      <c r="H409" s="28"/>
      <c r="I409" s="29" t="str">
        <f t="shared" si="18"/>
        <v/>
      </c>
      <c r="J409" s="30" t="str">
        <f t="shared" si="19"/>
        <v/>
      </c>
      <c r="K409" s="26"/>
      <c r="L409" s="24" t="str">
        <f>IF(N409="","",IF(N409="T","Título de capítulo",IF(OR(ISERROR(F409),ISERROR(G409),ISERROR(H409)),"Error en fórmula: pegá como valores",IF(AND(B409="",$C$6=""),"Falta sector",IF(M409="","Falta capítulo",IF(TRIM(E409)="","Falta unidad",IF(NOT((COUNTIF(Listas!$A$2:$A$40,E409)+COUNTIF(Listas!$D$2:$D$60,E409)&gt;0)),"Unidad no reconocida",IF(AND(F409&lt;&gt;"",NOT(ISNUMBER(F409))),"Cantidad no es número",IF(N(F409)&lt;=0,"Falta cantidad",IF(OR(AND(G409&lt;&gt;"",NOT(ISNUMBER(G409))),AND(H409&lt;&gt;"",NOT(ISNUMBER(H409)))),"Precio no es número",IF(N(G409)+N(H409)&lt;=0,"Falta precio","✓ OK")))))))))))</f>
        <v/>
      </c>
      <c r="M409" t="str">
        <f>IF(N409&lt;&gt;"W","",IF(TRIM(C409)&lt;&gt;"",TRIM(C409),IFERROR(LOOKUP(2,1/(N$9:N409="T"),D$9:D409),"")))</f>
        <v/>
      </c>
      <c r="N409" t="str">
        <f t="shared" si="20"/>
        <v/>
      </c>
      <c r="O409" t="str">
        <f>IF(M409="","",IF(COUNTIF(M$9:M409,M409)=1,MAX(O$8:O408)+1,""))</f>
        <v/>
      </c>
    </row>
    <row r="410" spans="1:15" x14ac:dyDescent="0.75">
      <c r="A410" s="24" t="str">
        <f>IF(N410="W",COUNTIF(N$9:N410,"W"),"")</f>
        <v/>
      </c>
      <c r="B410" s="25"/>
      <c r="C410" s="25"/>
      <c r="D410" s="26"/>
      <c r="E410" s="25"/>
      <c r="F410" s="27"/>
      <c r="G410" s="28"/>
      <c r="H410" s="28"/>
      <c r="I410" s="29" t="str">
        <f t="shared" si="18"/>
        <v/>
      </c>
      <c r="J410" s="30" t="str">
        <f t="shared" si="19"/>
        <v/>
      </c>
      <c r="K410" s="26"/>
      <c r="L410" s="24" t="str">
        <f>IF(N410="","",IF(N410="T","Título de capítulo",IF(OR(ISERROR(F410),ISERROR(G410),ISERROR(H410)),"Error en fórmula: pegá como valores",IF(AND(B410="",$C$6=""),"Falta sector",IF(M410="","Falta capítulo",IF(TRIM(E410)="","Falta unidad",IF(NOT((COUNTIF(Listas!$A$2:$A$40,E410)+COUNTIF(Listas!$D$2:$D$60,E410)&gt;0)),"Unidad no reconocida",IF(AND(F410&lt;&gt;"",NOT(ISNUMBER(F410))),"Cantidad no es número",IF(N(F410)&lt;=0,"Falta cantidad",IF(OR(AND(G410&lt;&gt;"",NOT(ISNUMBER(G410))),AND(H410&lt;&gt;"",NOT(ISNUMBER(H410)))),"Precio no es número",IF(N(G410)+N(H410)&lt;=0,"Falta precio","✓ OK")))))))))))</f>
        <v/>
      </c>
      <c r="M410" t="str">
        <f>IF(N410&lt;&gt;"W","",IF(TRIM(C410)&lt;&gt;"",TRIM(C410),IFERROR(LOOKUP(2,1/(N$9:N410="T"),D$9:D410),"")))</f>
        <v/>
      </c>
      <c r="N410" t="str">
        <f t="shared" si="20"/>
        <v/>
      </c>
      <c r="O410" t="str">
        <f>IF(M410="","",IF(COUNTIF(M$9:M410,M410)=1,MAX(O$8:O409)+1,""))</f>
        <v/>
      </c>
    </row>
    <row r="411" spans="1:15" x14ac:dyDescent="0.75">
      <c r="A411" s="24" t="str">
        <f>IF(N411="W",COUNTIF(N$9:N411,"W"),"")</f>
        <v/>
      </c>
      <c r="B411" s="25"/>
      <c r="C411" s="25"/>
      <c r="D411" s="26"/>
      <c r="E411" s="25"/>
      <c r="F411" s="27"/>
      <c r="G411" s="28"/>
      <c r="H411" s="28"/>
      <c r="I411" s="29" t="str">
        <f t="shared" si="18"/>
        <v/>
      </c>
      <c r="J411" s="30" t="str">
        <f t="shared" si="19"/>
        <v/>
      </c>
      <c r="K411" s="26"/>
      <c r="L411" s="24" t="str">
        <f>IF(N411="","",IF(N411="T","Título de capítulo",IF(OR(ISERROR(F411),ISERROR(G411),ISERROR(H411)),"Error en fórmula: pegá como valores",IF(AND(B411="",$C$6=""),"Falta sector",IF(M411="","Falta capítulo",IF(TRIM(E411)="","Falta unidad",IF(NOT((COUNTIF(Listas!$A$2:$A$40,E411)+COUNTIF(Listas!$D$2:$D$60,E411)&gt;0)),"Unidad no reconocida",IF(AND(F411&lt;&gt;"",NOT(ISNUMBER(F411))),"Cantidad no es número",IF(N(F411)&lt;=0,"Falta cantidad",IF(OR(AND(G411&lt;&gt;"",NOT(ISNUMBER(G411))),AND(H411&lt;&gt;"",NOT(ISNUMBER(H411)))),"Precio no es número",IF(N(G411)+N(H411)&lt;=0,"Falta precio","✓ OK")))))))))))</f>
        <v/>
      </c>
      <c r="M411" t="str">
        <f>IF(N411&lt;&gt;"W","",IF(TRIM(C411)&lt;&gt;"",TRIM(C411),IFERROR(LOOKUP(2,1/(N$9:N411="T"),D$9:D411),"")))</f>
        <v/>
      </c>
      <c r="N411" t="str">
        <f t="shared" si="20"/>
        <v/>
      </c>
      <c r="O411" t="str">
        <f>IF(M411="","",IF(COUNTIF(M$9:M411,M411)=1,MAX(O$8:O410)+1,""))</f>
        <v/>
      </c>
    </row>
    <row r="412" spans="1:15" x14ac:dyDescent="0.75">
      <c r="A412" s="24" t="str">
        <f>IF(N412="W",COUNTIF(N$9:N412,"W"),"")</f>
        <v/>
      </c>
      <c r="B412" s="25"/>
      <c r="C412" s="25"/>
      <c r="D412" s="26"/>
      <c r="E412" s="25"/>
      <c r="F412" s="27"/>
      <c r="G412" s="28"/>
      <c r="H412" s="28"/>
      <c r="I412" s="29" t="str">
        <f t="shared" si="18"/>
        <v/>
      </c>
      <c r="J412" s="30" t="str">
        <f t="shared" si="19"/>
        <v/>
      </c>
      <c r="K412" s="26"/>
      <c r="L412" s="24" t="str">
        <f>IF(N412="","",IF(N412="T","Título de capítulo",IF(OR(ISERROR(F412),ISERROR(G412),ISERROR(H412)),"Error en fórmula: pegá como valores",IF(AND(B412="",$C$6=""),"Falta sector",IF(M412="","Falta capítulo",IF(TRIM(E412)="","Falta unidad",IF(NOT((COUNTIF(Listas!$A$2:$A$40,E412)+COUNTIF(Listas!$D$2:$D$60,E412)&gt;0)),"Unidad no reconocida",IF(AND(F412&lt;&gt;"",NOT(ISNUMBER(F412))),"Cantidad no es número",IF(N(F412)&lt;=0,"Falta cantidad",IF(OR(AND(G412&lt;&gt;"",NOT(ISNUMBER(G412))),AND(H412&lt;&gt;"",NOT(ISNUMBER(H412)))),"Precio no es número",IF(N(G412)+N(H412)&lt;=0,"Falta precio","✓ OK")))))))))))</f>
        <v/>
      </c>
      <c r="M412" t="str">
        <f>IF(N412&lt;&gt;"W","",IF(TRIM(C412)&lt;&gt;"",TRIM(C412),IFERROR(LOOKUP(2,1/(N$9:N412="T"),D$9:D412),"")))</f>
        <v/>
      </c>
      <c r="N412" t="str">
        <f t="shared" si="20"/>
        <v/>
      </c>
      <c r="O412" t="str">
        <f>IF(M412="","",IF(COUNTIF(M$9:M412,M412)=1,MAX(O$8:O411)+1,""))</f>
        <v/>
      </c>
    </row>
    <row r="413" spans="1:15" x14ac:dyDescent="0.75">
      <c r="A413" s="24" t="str">
        <f>IF(N413="W",COUNTIF(N$9:N413,"W"),"")</f>
        <v/>
      </c>
      <c r="B413" s="25"/>
      <c r="C413" s="25"/>
      <c r="D413" s="26"/>
      <c r="E413" s="25"/>
      <c r="F413" s="27"/>
      <c r="G413" s="28"/>
      <c r="H413" s="28"/>
      <c r="I413" s="29" t="str">
        <f t="shared" si="18"/>
        <v/>
      </c>
      <c r="J413" s="30" t="str">
        <f t="shared" si="19"/>
        <v/>
      </c>
      <c r="K413" s="26"/>
      <c r="L413" s="24" t="str">
        <f>IF(N413="","",IF(N413="T","Título de capítulo",IF(OR(ISERROR(F413),ISERROR(G413),ISERROR(H413)),"Error en fórmula: pegá como valores",IF(AND(B413="",$C$6=""),"Falta sector",IF(M413="","Falta capítulo",IF(TRIM(E413)="","Falta unidad",IF(NOT((COUNTIF(Listas!$A$2:$A$40,E413)+COUNTIF(Listas!$D$2:$D$60,E413)&gt;0)),"Unidad no reconocida",IF(AND(F413&lt;&gt;"",NOT(ISNUMBER(F413))),"Cantidad no es número",IF(N(F413)&lt;=0,"Falta cantidad",IF(OR(AND(G413&lt;&gt;"",NOT(ISNUMBER(G413))),AND(H413&lt;&gt;"",NOT(ISNUMBER(H413)))),"Precio no es número",IF(N(G413)+N(H413)&lt;=0,"Falta precio","✓ OK")))))))))))</f>
        <v/>
      </c>
      <c r="M413" t="str">
        <f>IF(N413&lt;&gt;"W","",IF(TRIM(C413)&lt;&gt;"",TRIM(C413),IFERROR(LOOKUP(2,1/(N$9:N413="T"),D$9:D413),"")))</f>
        <v/>
      </c>
      <c r="N413" t="str">
        <f t="shared" si="20"/>
        <v/>
      </c>
      <c r="O413" t="str">
        <f>IF(M413="","",IF(COUNTIF(M$9:M413,M413)=1,MAX(O$8:O412)+1,""))</f>
        <v/>
      </c>
    </row>
    <row r="414" spans="1:15" x14ac:dyDescent="0.75">
      <c r="A414" s="24" t="str">
        <f>IF(N414="W",COUNTIF(N$9:N414,"W"),"")</f>
        <v/>
      </c>
      <c r="B414" s="25"/>
      <c r="C414" s="25"/>
      <c r="D414" s="26"/>
      <c r="E414" s="25"/>
      <c r="F414" s="27"/>
      <c r="G414" s="28"/>
      <c r="H414" s="28"/>
      <c r="I414" s="29" t="str">
        <f t="shared" si="18"/>
        <v/>
      </c>
      <c r="J414" s="30" t="str">
        <f t="shared" si="19"/>
        <v/>
      </c>
      <c r="K414" s="26"/>
      <c r="L414" s="24" t="str">
        <f>IF(N414="","",IF(N414="T","Título de capítulo",IF(OR(ISERROR(F414),ISERROR(G414),ISERROR(H414)),"Error en fórmula: pegá como valores",IF(AND(B414="",$C$6=""),"Falta sector",IF(M414="","Falta capítulo",IF(TRIM(E414)="","Falta unidad",IF(NOT((COUNTIF(Listas!$A$2:$A$40,E414)+COUNTIF(Listas!$D$2:$D$60,E414)&gt;0)),"Unidad no reconocida",IF(AND(F414&lt;&gt;"",NOT(ISNUMBER(F414))),"Cantidad no es número",IF(N(F414)&lt;=0,"Falta cantidad",IF(OR(AND(G414&lt;&gt;"",NOT(ISNUMBER(G414))),AND(H414&lt;&gt;"",NOT(ISNUMBER(H414)))),"Precio no es número",IF(N(G414)+N(H414)&lt;=0,"Falta precio","✓ OK")))))))))))</f>
        <v/>
      </c>
      <c r="M414" t="str">
        <f>IF(N414&lt;&gt;"W","",IF(TRIM(C414)&lt;&gt;"",TRIM(C414),IFERROR(LOOKUP(2,1/(N$9:N414="T"),D$9:D414),"")))</f>
        <v/>
      </c>
      <c r="N414" t="str">
        <f t="shared" si="20"/>
        <v/>
      </c>
      <c r="O414" t="str">
        <f>IF(M414="","",IF(COUNTIF(M$9:M414,M414)=1,MAX(O$8:O413)+1,""))</f>
        <v/>
      </c>
    </row>
    <row r="415" spans="1:15" x14ac:dyDescent="0.75">
      <c r="A415" s="24" t="str">
        <f>IF(N415="W",COUNTIF(N$9:N415,"W"),"")</f>
        <v/>
      </c>
      <c r="B415" s="25"/>
      <c r="C415" s="25"/>
      <c r="D415" s="26"/>
      <c r="E415" s="25"/>
      <c r="F415" s="27"/>
      <c r="G415" s="28"/>
      <c r="H415" s="28"/>
      <c r="I415" s="29" t="str">
        <f t="shared" si="18"/>
        <v/>
      </c>
      <c r="J415" s="30" t="str">
        <f t="shared" si="19"/>
        <v/>
      </c>
      <c r="K415" s="26"/>
      <c r="L415" s="24" t="str">
        <f>IF(N415="","",IF(N415="T","Título de capítulo",IF(OR(ISERROR(F415),ISERROR(G415),ISERROR(H415)),"Error en fórmula: pegá como valores",IF(AND(B415="",$C$6=""),"Falta sector",IF(M415="","Falta capítulo",IF(TRIM(E415)="","Falta unidad",IF(NOT((COUNTIF(Listas!$A$2:$A$40,E415)+COUNTIF(Listas!$D$2:$D$60,E415)&gt;0)),"Unidad no reconocida",IF(AND(F415&lt;&gt;"",NOT(ISNUMBER(F415))),"Cantidad no es número",IF(N(F415)&lt;=0,"Falta cantidad",IF(OR(AND(G415&lt;&gt;"",NOT(ISNUMBER(G415))),AND(H415&lt;&gt;"",NOT(ISNUMBER(H415)))),"Precio no es número",IF(N(G415)+N(H415)&lt;=0,"Falta precio","✓ OK")))))))))))</f>
        <v/>
      </c>
      <c r="M415" t="str">
        <f>IF(N415&lt;&gt;"W","",IF(TRIM(C415)&lt;&gt;"",TRIM(C415),IFERROR(LOOKUP(2,1/(N$9:N415="T"),D$9:D415),"")))</f>
        <v/>
      </c>
      <c r="N415" t="str">
        <f t="shared" si="20"/>
        <v/>
      </c>
      <c r="O415" t="str">
        <f>IF(M415="","",IF(COUNTIF(M$9:M415,M415)=1,MAX(O$8:O414)+1,""))</f>
        <v/>
      </c>
    </row>
    <row r="416" spans="1:15" x14ac:dyDescent="0.75">
      <c r="A416" s="24" t="str">
        <f>IF(N416="W",COUNTIF(N$9:N416,"W"),"")</f>
        <v/>
      </c>
      <c r="B416" s="25"/>
      <c r="C416" s="25"/>
      <c r="D416" s="26"/>
      <c r="E416" s="25"/>
      <c r="F416" s="27"/>
      <c r="G416" s="28"/>
      <c r="H416" s="28"/>
      <c r="I416" s="29" t="str">
        <f t="shared" si="18"/>
        <v/>
      </c>
      <c r="J416" s="30" t="str">
        <f t="shared" si="19"/>
        <v/>
      </c>
      <c r="K416" s="26"/>
      <c r="L416" s="24" t="str">
        <f>IF(N416="","",IF(N416="T","Título de capítulo",IF(OR(ISERROR(F416),ISERROR(G416),ISERROR(H416)),"Error en fórmula: pegá como valores",IF(AND(B416="",$C$6=""),"Falta sector",IF(M416="","Falta capítulo",IF(TRIM(E416)="","Falta unidad",IF(NOT((COUNTIF(Listas!$A$2:$A$40,E416)+COUNTIF(Listas!$D$2:$D$60,E416)&gt;0)),"Unidad no reconocida",IF(AND(F416&lt;&gt;"",NOT(ISNUMBER(F416))),"Cantidad no es número",IF(N(F416)&lt;=0,"Falta cantidad",IF(OR(AND(G416&lt;&gt;"",NOT(ISNUMBER(G416))),AND(H416&lt;&gt;"",NOT(ISNUMBER(H416)))),"Precio no es número",IF(N(G416)+N(H416)&lt;=0,"Falta precio","✓ OK")))))))))))</f>
        <v/>
      </c>
      <c r="M416" t="str">
        <f>IF(N416&lt;&gt;"W","",IF(TRIM(C416)&lt;&gt;"",TRIM(C416),IFERROR(LOOKUP(2,1/(N$9:N416="T"),D$9:D416),"")))</f>
        <v/>
      </c>
      <c r="N416" t="str">
        <f t="shared" si="20"/>
        <v/>
      </c>
      <c r="O416" t="str">
        <f>IF(M416="","",IF(COUNTIF(M$9:M416,M416)=1,MAX(O$8:O415)+1,""))</f>
        <v/>
      </c>
    </row>
    <row r="417" spans="1:15" x14ac:dyDescent="0.75">
      <c r="A417" s="24" t="str">
        <f>IF(N417="W",COUNTIF(N$9:N417,"W"),"")</f>
        <v/>
      </c>
      <c r="B417" s="25"/>
      <c r="C417" s="25"/>
      <c r="D417" s="26"/>
      <c r="E417" s="25"/>
      <c r="F417" s="27"/>
      <c r="G417" s="28"/>
      <c r="H417" s="28"/>
      <c r="I417" s="29" t="str">
        <f t="shared" si="18"/>
        <v/>
      </c>
      <c r="J417" s="30" t="str">
        <f t="shared" si="19"/>
        <v/>
      </c>
      <c r="K417" s="26"/>
      <c r="L417" s="24" t="str">
        <f>IF(N417="","",IF(N417="T","Título de capítulo",IF(OR(ISERROR(F417),ISERROR(G417),ISERROR(H417)),"Error en fórmula: pegá como valores",IF(AND(B417="",$C$6=""),"Falta sector",IF(M417="","Falta capítulo",IF(TRIM(E417)="","Falta unidad",IF(NOT((COUNTIF(Listas!$A$2:$A$40,E417)+COUNTIF(Listas!$D$2:$D$60,E417)&gt;0)),"Unidad no reconocida",IF(AND(F417&lt;&gt;"",NOT(ISNUMBER(F417))),"Cantidad no es número",IF(N(F417)&lt;=0,"Falta cantidad",IF(OR(AND(G417&lt;&gt;"",NOT(ISNUMBER(G417))),AND(H417&lt;&gt;"",NOT(ISNUMBER(H417)))),"Precio no es número",IF(N(G417)+N(H417)&lt;=0,"Falta precio","✓ OK")))))))))))</f>
        <v/>
      </c>
      <c r="M417" t="str">
        <f>IF(N417&lt;&gt;"W","",IF(TRIM(C417)&lt;&gt;"",TRIM(C417),IFERROR(LOOKUP(2,1/(N$9:N417="T"),D$9:D417),"")))</f>
        <v/>
      </c>
      <c r="N417" t="str">
        <f t="shared" si="20"/>
        <v/>
      </c>
      <c r="O417" t="str">
        <f>IF(M417="","",IF(COUNTIF(M$9:M417,M417)=1,MAX(O$8:O416)+1,""))</f>
        <v/>
      </c>
    </row>
    <row r="418" spans="1:15" x14ac:dyDescent="0.75">
      <c r="A418" s="24" t="str">
        <f>IF(N418="W",COUNTIF(N$9:N418,"W"),"")</f>
        <v/>
      </c>
      <c r="B418" s="25"/>
      <c r="C418" s="25"/>
      <c r="D418" s="26"/>
      <c r="E418" s="25"/>
      <c r="F418" s="27"/>
      <c r="G418" s="28"/>
      <c r="H418" s="28"/>
      <c r="I418" s="29" t="str">
        <f t="shared" si="18"/>
        <v/>
      </c>
      <c r="J418" s="30" t="str">
        <f t="shared" si="19"/>
        <v/>
      </c>
      <c r="K418" s="26"/>
      <c r="L418" s="24" t="str">
        <f>IF(N418="","",IF(N418="T","Título de capítulo",IF(OR(ISERROR(F418),ISERROR(G418),ISERROR(H418)),"Error en fórmula: pegá como valores",IF(AND(B418="",$C$6=""),"Falta sector",IF(M418="","Falta capítulo",IF(TRIM(E418)="","Falta unidad",IF(NOT((COUNTIF(Listas!$A$2:$A$40,E418)+COUNTIF(Listas!$D$2:$D$60,E418)&gt;0)),"Unidad no reconocida",IF(AND(F418&lt;&gt;"",NOT(ISNUMBER(F418))),"Cantidad no es número",IF(N(F418)&lt;=0,"Falta cantidad",IF(OR(AND(G418&lt;&gt;"",NOT(ISNUMBER(G418))),AND(H418&lt;&gt;"",NOT(ISNUMBER(H418)))),"Precio no es número",IF(N(G418)+N(H418)&lt;=0,"Falta precio","✓ OK")))))))))))</f>
        <v/>
      </c>
      <c r="M418" t="str">
        <f>IF(N418&lt;&gt;"W","",IF(TRIM(C418)&lt;&gt;"",TRIM(C418),IFERROR(LOOKUP(2,1/(N$9:N418="T"),D$9:D418),"")))</f>
        <v/>
      </c>
      <c r="N418" t="str">
        <f t="shared" si="20"/>
        <v/>
      </c>
      <c r="O418" t="str">
        <f>IF(M418="","",IF(COUNTIF(M$9:M418,M418)=1,MAX(O$8:O417)+1,""))</f>
        <v/>
      </c>
    </row>
    <row r="419" spans="1:15" x14ac:dyDescent="0.75">
      <c r="A419" s="24" t="str">
        <f>IF(N419="W",COUNTIF(N$9:N419,"W"),"")</f>
        <v/>
      </c>
      <c r="B419" s="25"/>
      <c r="C419" s="25"/>
      <c r="D419" s="26"/>
      <c r="E419" s="25"/>
      <c r="F419" s="27"/>
      <c r="G419" s="28"/>
      <c r="H419" s="28"/>
      <c r="I419" s="29" t="str">
        <f t="shared" si="18"/>
        <v/>
      </c>
      <c r="J419" s="30" t="str">
        <f t="shared" si="19"/>
        <v/>
      </c>
      <c r="K419" s="26"/>
      <c r="L419" s="24" t="str">
        <f>IF(N419="","",IF(N419="T","Título de capítulo",IF(OR(ISERROR(F419),ISERROR(G419),ISERROR(H419)),"Error en fórmula: pegá como valores",IF(AND(B419="",$C$6=""),"Falta sector",IF(M419="","Falta capítulo",IF(TRIM(E419)="","Falta unidad",IF(NOT((COUNTIF(Listas!$A$2:$A$40,E419)+COUNTIF(Listas!$D$2:$D$60,E419)&gt;0)),"Unidad no reconocida",IF(AND(F419&lt;&gt;"",NOT(ISNUMBER(F419))),"Cantidad no es número",IF(N(F419)&lt;=0,"Falta cantidad",IF(OR(AND(G419&lt;&gt;"",NOT(ISNUMBER(G419))),AND(H419&lt;&gt;"",NOT(ISNUMBER(H419)))),"Precio no es número",IF(N(G419)+N(H419)&lt;=0,"Falta precio","✓ OK")))))))))))</f>
        <v/>
      </c>
      <c r="M419" t="str">
        <f>IF(N419&lt;&gt;"W","",IF(TRIM(C419)&lt;&gt;"",TRIM(C419),IFERROR(LOOKUP(2,1/(N$9:N419="T"),D$9:D419),"")))</f>
        <v/>
      </c>
      <c r="N419" t="str">
        <f t="shared" si="20"/>
        <v/>
      </c>
      <c r="O419" t="str">
        <f>IF(M419="","",IF(COUNTIF(M$9:M419,M419)=1,MAX(O$8:O418)+1,""))</f>
        <v/>
      </c>
    </row>
    <row r="420" spans="1:15" x14ac:dyDescent="0.75">
      <c r="A420" s="24" t="str">
        <f>IF(N420="W",COUNTIF(N$9:N420,"W"),"")</f>
        <v/>
      </c>
      <c r="B420" s="25"/>
      <c r="C420" s="25"/>
      <c r="D420" s="26"/>
      <c r="E420" s="25"/>
      <c r="F420" s="27"/>
      <c r="G420" s="28"/>
      <c r="H420" s="28"/>
      <c r="I420" s="29" t="str">
        <f t="shared" si="18"/>
        <v/>
      </c>
      <c r="J420" s="30" t="str">
        <f t="shared" si="19"/>
        <v/>
      </c>
      <c r="K420" s="26"/>
      <c r="L420" s="24" t="str">
        <f>IF(N420="","",IF(N420="T","Título de capítulo",IF(OR(ISERROR(F420),ISERROR(G420),ISERROR(H420)),"Error en fórmula: pegá como valores",IF(AND(B420="",$C$6=""),"Falta sector",IF(M420="","Falta capítulo",IF(TRIM(E420)="","Falta unidad",IF(NOT((COUNTIF(Listas!$A$2:$A$40,E420)+COUNTIF(Listas!$D$2:$D$60,E420)&gt;0)),"Unidad no reconocida",IF(AND(F420&lt;&gt;"",NOT(ISNUMBER(F420))),"Cantidad no es número",IF(N(F420)&lt;=0,"Falta cantidad",IF(OR(AND(G420&lt;&gt;"",NOT(ISNUMBER(G420))),AND(H420&lt;&gt;"",NOT(ISNUMBER(H420)))),"Precio no es número",IF(N(G420)+N(H420)&lt;=0,"Falta precio","✓ OK")))))))))))</f>
        <v/>
      </c>
      <c r="M420" t="str">
        <f>IF(N420&lt;&gt;"W","",IF(TRIM(C420)&lt;&gt;"",TRIM(C420),IFERROR(LOOKUP(2,1/(N$9:N420="T"),D$9:D420),"")))</f>
        <v/>
      </c>
      <c r="N420" t="str">
        <f t="shared" si="20"/>
        <v/>
      </c>
      <c r="O420" t="str">
        <f>IF(M420="","",IF(COUNTIF(M$9:M420,M420)=1,MAX(O$8:O419)+1,""))</f>
        <v/>
      </c>
    </row>
    <row r="421" spans="1:15" x14ac:dyDescent="0.75">
      <c r="A421" s="24" t="str">
        <f>IF(N421="W",COUNTIF(N$9:N421,"W"),"")</f>
        <v/>
      </c>
      <c r="B421" s="25"/>
      <c r="C421" s="25"/>
      <c r="D421" s="26"/>
      <c r="E421" s="25"/>
      <c r="F421" s="27"/>
      <c r="G421" s="28"/>
      <c r="H421" s="28"/>
      <c r="I421" s="29" t="str">
        <f t="shared" si="18"/>
        <v/>
      </c>
      <c r="J421" s="30" t="str">
        <f t="shared" si="19"/>
        <v/>
      </c>
      <c r="K421" s="26"/>
      <c r="L421" s="24" t="str">
        <f>IF(N421="","",IF(N421="T","Título de capítulo",IF(OR(ISERROR(F421),ISERROR(G421),ISERROR(H421)),"Error en fórmula: pegá como valores",IF(AND(B421="",$C$6=""),"Falta sector",IF(M421="","Falta capítulo",IF(TRIM(E421)="","Falta unidad",IF(NOT((COUNTIF(Listas!$A$2:$A$40,E421)+COUNTIF(Listas!$D$2:$D$60,E421)&gt;0)),"Unidad no reconocida",IF(AND(F421&lt;&gt;"",NOT(ISNUMBER(F421))),"Cantidad no es número",IF(N(F421)&lt;=0,"Falta cantidad",IF(OR(AND(G421&lt;&gt;"",NOT(ISNUMBER(G421))),AND(H421&lt;&gt;"",NOT(ISNUMBER(H421)))),"Precio no es número",IF(N(G421)+N(H421)&lt;=0,"Falta precio","✓ OK")))))))))))</f>
        <v/>
      </c>
      <c r="M421" t="str">
        <f>IF(N421&lt;&gt;"W","",IF(TRIM(C421)&lt;&gt;"",TRIM(C421),IFERROR(LOOKUP(2,1/(N$9:N421="T"),D$9:D421),"")))</f>
        <v/>
      </c>
      <c r="N421" t="str">
        <f t="shared" si="20"/>
        <v/>
      </c>
      <c r="O421" t="str">
        <f>IF(M421="","",IF(COUNTIF(M$9:M421,M421)=1,MAX(O$8:O420)+1,""))</f>
        <v/>
      </c>
    </row>
    <row r="422" spans="1:15" x14ac:dyDescent="0.75">
      <c r="A422" s="24" t="str">
        <f>IF(N422="W",COUNTIF(N$9:N422,"W"),"")</f>
        <v/>
      </c>
      <c r="B422" s="25"/>
      <c r="C422" s="25"/>
      <c r="D422" s="26"/>
      <c r="E422" s="25"/>
      <c r="F422" s="27"/>
      <c r="G422" s="28"/>
      <c r="H422" s="28"/>
      <c r="I422" s="29" t="str">
        <f t="shared" si="18"/>
        <v/>
      </c>
      <c r="J422" s="30" t="str">
        <f t="shared" si="19"/>
        <v/>
      </c>
      <c r="K422" s="26"/>
      <c r="L422" s="24" t="str">
        <f>IF(N422="","",IF(N422="T","Título de capítulo",IF(OR(ISERROR(F422),ISERROR(G422),ISERROR(H422)),"Error en fórmula: pegá como valores",IF(AND(B422="",$C$6=""),"Falta sector",IF(M422="","Falta capítulo",IF(TRIM(E422)="","Falta unidad",IF(NOT((COUNTIF(Listas!$A$2:$A$40,E422)+COUNTIF(Listas!$D$2:$D$60,E422)&gt;0)),"Unidad no reconocida",IF(AND(F422&lt;&gt;"",NOT(ISNUMBER(F422))),"Cantidad no es número",IF(N(F422)&lt;=0,"Falta cantidad",IF(OR(AND(G422&lt;&gt;"",NOT(ISNUMBER(G422))),AND(H422&lt;&gt;"",NOT(ISNUMBER(H422)))),"Precio no es número",IF(N(G422)+N(H422)&lt;=0,"Falta precio","✓ OK")))))))))))</f>
        <v/>
      </c>
      <c r="M422" t="str">
        <f>IF(N422&lt;&gt;"W","",IF(TRIM(C422)&lt;&gt;"",TRIM(C422),IFERROR(LOOKUP(2,1/(N$9:N422="T"),D$9:D422),"")))</f>
        <v/>
      </c>
      <c r="N422" t="str">
        <f t="shared" si="20"/>
        <v/>
      </c>
      <c r="O422" t="str">
        <f>IF(M422="","",IF(COUNTIF(M$9:M422,M422)=1,MAX(O$8:O421)+1,""))</f>
        <v/>
      </c>
    </row>
    <row r="423" spans="1:15" x14ac:dyDescent="0.75">
      <c r="A423" s="24" t="str">
        <f>IF(N423="W",COUNTIF(N$9:N423,"W"),"")</f>
        <v/>
      </c>
      <c r="B423" s="25"/>
      <c r="C423" s="25"/>
      <c r="D423" s="26"/>
      <c r="E423" s="25"/>
      <c r="F423" s="27"/>
      <c r="G423" s="28"/>
      <c r="H423" s="28"/>
      <c r="I423" s="29" t="str">
        <f t="shared" si="18"/>
        <v/>
      </c>
      <c r="J423" s="30" t="str">
        <f t="shared" si="19"/>
        <v/>
      </c>
      <c r="K423" s="26"/>
      <c r="L423" s="24" t="str">
        <f>IF(N423="","",IF(N423="T","Título de capítulo",IF(OR(ISERROR(F423),ISERROR(G423),ISERROR(H423)),"Error en fórmula: pegá como valores",IF(AND(B423="",$C$6=""),"Falta sector",IF(M423="","Falta capítulo",IF(TRIM(E423)="","Falta unidad",IF(NOT((COUNTIF(Listas!$A$2:$A$40,E423)+COUNTIF(Listas!$D$2:$D$60,E423)&gt;0)),"Unidad no reconocida",IF(AND(F423&lt;&gt;"",NOT(ISNUMBER(F423))),"Cantidad no es número",IF(N(F423)&lt;=0,"Falta cantidad",IF(OR(AND(G423&lt;&gt;"",NOT(ISNUMBER(G423))),AND(H423&lt;&gt;"",NOT(ISNUMBER(H423)))),"Precio no es número",IF(N(G423)+N(H423)&lt;=0,"Falta precio","✓ OK")))))))))))</f>
        <v/>
      </c>
      <c r="M423" t="str">
        <f>IF(N423&lt;&gt;"W","",IF(TRIM(C423)&lt;&gt;"",TRIM(C423),IFERROR(LOOKUP(2,1/(N$9:N423="T"),D$9:D423),"")))</f>
        <v/>
      </c>
      <c r="N423" t="str">
        <f t="shared" si="20"/>
        <v/>
      </c>
      <c r="O423" t="str">
        <f>IF(M423="","",IF(COUNTIF(M$9:M423,M423)=1,MAX(O$8:O422)+1,""))</f>
        <v/>
      </c>
    </row>
    <row r="424" spans="1:15" x14ac:dyDescent="0.75">
      <c r="A424" s="24" t="str">
        <f>IF(N424="W",COUNTIF(N$9:N424,"W"),"")</f>
        <v/>
      </c>
      <c r="B424" s="25"/>
      <c r="C424" s="25"/>
      <c r="D424" s="26"/>
      <c r="E424" s="25"/>
      <c r="F424" s="27"/>
      <c r="G424" s="28"/>
      <c r="H424" s="28"/>
      <c r="I424" s="29" t="str">
        <f t="shared" si="18"/>
        <v/>
      </c>
      <c r="J424" s="30" t="str">
        <f t="shared" si="19"/>
        <v/>
      </c>
      <c r="K424" s="26"/>
      <c r="L424" s="24" t="str">
        <f>IF(N424="","",IF(N424="T","Título de capítulo",IF(OR(ISERROR(F424),ISERROR(G424),ISERROR(H424)),"Error en fórmula: pegá como valores",IF(AND(B424="",$C$6=""),"Falta sector",IF(M424="","Falta capítulo",IF(TRIM(E424)="","Falta unidad",IF(NOT((COUNTIF(Listas!$A$2:$A$40,E424)+COUNTIF(Listas!$D$2:$D$60,E424)&gt;0)),"Unidad no reconocida",IF(AND(F424&lt;&gt;"",NOT(ISNUMBER(F424))),"Cantidad no es número",IF(N(F424)&lt;=0,"Falta cantidad",IF(OR(AND(G424&lt;&gt;"",NOT(ISNUMBER(G424))),AND(H424&lt;&gt;"",NOT(ISNUMBER(H424)))),"Precio no es número",IF(N(G424)+N(H424)&lt;=0,"Falta precio","✓ OK")))))))))))</f>
        <v/>
      </c>
      <c r="M424" t="str">
        <f>IF(N424&lt;&gt;"W","",IF(TRIM(C424)&lt;&gt;"",TRIM(C424),IFERROR(LOOKUP(2,1/(N$9:N424="T"),D$9:D424),"")))</f>
        <v/>
      </c>
      <c r="N424" t="str">
        <f t="shared" si="20"/>
        <v/>
      </c>
      <c r="O424" t="str">
        <f>IF(M424="","",IF(COUNTIF(M$9:M424,M424)=1,MAX(O$8:O423)+1,""))</f>
        <v/>
      </c>
    </row>
    <row r="425" spans="1:15" x14ac:dyDescent="0.75">
      <c r="A425" s="24" t="str">
        <f>IF(N425="W",COUNTIF(N$9:N425,"W"),"")</f>
        <v/>
      </c>
      <c r="B425" s="25"/>
      <c r="C425" s="25"/>
      <c r="D425" s="26"/>
      <c r="E425" s="25"/>
      <c r="F425" s="27"/>
      <c r="G425" s="28"/>
      <c r="H425" s="28"/>
      <c r="I425" s="29" t="str">
        <f t="shared" si="18"/>
        <v/>
      </c>
      <c r="J425" s="30" t="str">
        <f t="shared" si="19"/>
        <v/>
      </c>
      <c r="K425" s="26"/>
      <c r="L425" s="24" t="str">
        <f>IF(N425="","",IF(N425="T","Título de capítulo",IF(OR(ISERROR(F425),ISERROR(G425),ISERROR(H425)),"Error en fórmula: pegá como valores",IF(AND(B425="",$C$6=""),"Falta sector",IF(M425="","Falta capítulo",IF(TRIM(E425)="","Falta unidad",IF(NOT((COUNTIF(Listas!$A$2:$A$40,E425)+COUNTIF(Listas!$D$2:$D$60,E425)&gt;0)),"Unidad no reconocida",IF(AND(F425&lt;&gt;"",NOT(ISNUMBER(F425))),"Cantidad no es número",IF(N(F425)&lt;=0,"Falta cantidad",IF(OR(AND(G425&lt;&gt;"",NOT(ISNUMBER(G425))),AND(H425&lt;&gt;"",NOT(ISNUMBER(H425)))),"Precio no es número",IF(N(G425)+N(H425)&lt;=0,"Falta precio","✓ OK")))))))))))</f>
        <v/>
      </c>
      <c r="M425" t="str">
        <f>IF(N425&lt;&gt;"W","",IF(TRIM(C425)&lt;&gt;"",TRIM(C425),IFERROR(LOOKUP(2,1/(N$9:N425="T"),D$9:D425),"")))</f>
        <v/>
      </c>
      <c r="N425" t="str">
        <f t="shared" si="20"/>
        <v/>
      </c>
      <c r="O425" t="str">
        <f>IF(M425="","",IF(COUNTIF(M$9:M425,M425)=1,MAX(O$8:O424)+1,""))</f>
        <v/>
      </c>
    </row>
    <row r="426" spans="1:15" x14ac:dyDescent="0.75">
      <c r="A426" s="24" t="str">
        <f>IF(N426="W",COUNTIF(N$9:N426,"W"),"")</f>
        <v/>
      </c>
      <c r="B426" s="25"/>
      <c r="C426" s="25"/>
      <c r="D426" s="26"/>
      <c r="E426" s="25"/>
      <c r="F426" s="27"/>
      <c r="G426" s="28"/>
      <c r="H426" s="28"/>
      <c r="I426" s="29" t="str">
        <f t="shared" si="18"/>
        <v/>
      </c>
      <c r="J426" s="30" t="str">
        <f t="shared" si="19"/>
        <v/>
      </c>
      <c r="K426" s="26"/>
      <c r="L426" s="24" t="str">
        <f>IF(N426="","",IF(N426="T","Título de capítulo",IF(OR(ISERROR(F426),ISERROR(G426),ISERROR(H426)),"Error en fórmula: pegá como valores",IF(AND(B426="",$C$6=""),"Falta sector",IF(M426="","Falta capítulo",IF(TRIM(E426)="","Falta unidad",IF(NOT((COUNTIF(Listas!$A$2:$A$40,E426)+COUNTIF(Listas!$D$2:$D$60,E426)&gt;0)),"Unidad no reconocida",IF(AND(F426&lt;&gt;"",NOT(ISNUMBER(F426))),"Cantidad no es número",IF(N(F426)&lt;=0,"Falta cantidad",IF(OR(AND(G426&lt;&gt;"",NOT(ISNUMBER(G426))),AND(H426&lt;&gt;"",NOT(ISNUMBER(H426)))),"Precio no es número",IF(N(G426)+N(H426)&lt;=0,"Falta precio","✓ OK")))))))))))</f>
        <v/>
      </c>
      <c r="M426" t="str">
        <f>IF(N426&lt;&gt;"W","",IF(TRIM(C426)&lt;&gt;"",TRIM(C426),IFERROR(LOOKUP(2,1/(N$9:N426="T"),D$9:D426),"")))</f>
        <v/>
      </c>
      <c r="N426" t="str">
        <f t="shared" si="20"/>
        <v/>
      </c>
      <c r="O426" t="str">
        <f>IF(M426="","",IF(COUNTIF(M$9:M426,M426)=1,MAX(O$8:O425)+1,""))</f>
        <v/>
      </c>
    </row>
    <row r="427" spans="1:15" x14ac:dyDescent="0.75">
      <c r="A427" s="24" t="str">
        <f>IF(N427="W",COUNTIF(N$9:N427,"W"),"")</f>
        <v/>
      </c>
      <c r="B427" s="25"/>
      <c r="C427" s="25"/>
      <c r="D427" s="26"/>
      <c r="E427" s="25"/>
      <c r="F427" s="27"/>
      <c r="G427" s="28"/>
      <c r="H427" s="28"/>
      <c r="I427" s="29" t="str">
        <f t="shared" si="18"/>
        <v/>
      </c>
      <c r="J427" s="30" t="str">
        <f t="shared" si="19"/>
        <v/>
      </c>
      <c r="K427" s="26"/>
      <c r="L427" s="24" t="str">
        <f>IF(N427="","",IF(N427="T","Título de capítulo",IF(OR(ISERROR(F427),ISERROR(G427),ISERROR(H427)),"Error en fórmula: pegá como valores",IF(AND(B427="",$C$6=""),"Falta sector",IF(M427="","Falta capítulo",IF(TRIM(E427)="","Falta unidad",IF(NOT((COUNTIF(Listas!$A$2:$A$40,E427)+COUNTIF(Listas!$D$2:$D$60,E427)&gt;0)),"Unidad no reconocida",IF(AND(F427&lt;&gt;"",NOT(ISNUMBER(F427))),"Cantidad no es número",IF(N(F427)&lt;=0,"Falta cantidad",IF(OR(AND(G427&lt;&gt;"",NOT(ISNUMBER(G427))),AND(H427&lt;&gt;"",NOT(ISNUMBER(H427)))),"Precio no es número",IF(N(G427)+N(H427)&lt;=0,"Falta precio","✓ OK")))))))))))</f>
        <v/>
      </c>
      <c r="M427" t="str">
        <f>IF(N427&lt;&gt;"W","",IF(TRIM(C427)&lt;&gt;"",TRIM(C427),IFERROR(LOOKUP(2,1/(N$9:N427="T"),D$9:D427),"")))</f>
        <v/>
      </c>
      <c r="N427" t="str">
        <f t="shared" si="20"/>
        <v/>
      </c>
      <c r="O427" t="str">
        <f>IF(M427="","",IF(COUNTIF(M$9:M427,M427)=1,MAX(O$8:O426)+1,""))</f>
        <v/>
      </c>
    </row>
    <row r="428" spans="1:15" x14ac:dyDescent="0.75">
      <c r="A428" s="24" t="str">
        <f>IF(N428="W",COUNTIF(N$9:N428,"W"),"")</f>
        <v/>
      </c>
      <c r="B428" s="25"/>
      <c r="C428" s="25"/>
      <c r="D428" s="26"/>
      <c r="E428" s="25"/>
      <c r="F428" s="27"/>
      <c r="G428" s="28"/>
      <c r="H428" s="28"/>
      <c r="I428" s="29" t="str">
        <f t="shared" si="18"/>
        <v/>
      </c>
      <c r="J428" s="30" t="str">
        <f t="shared" si="19"/>
        <v/>
      </c>
      <c r="K428" s="26"/>
      <c r="L428" s="24" t="str">
        <f>IF(N428="","",IF(N428="T","Título de capítulo",IF(OR(ISERROR(F428),ISERROR(G428),ISERROR(H428)),"Error en fórmula: pegá como valores",IF(AND(B428="",$C$6=""),"Falta sector",IF(M428="","Falta capítulo",IF(TRIM(E428)="","Falta unidad",IF(NOT((COUNTIF(Listas!$A$2:$A$40,E428)+COUNTIF(Listas!$D$2:$D$60,E428)&gt;0)),"Unidad no reconocida",IF(AND(F428&lt;&gt;"",NOT(ISNUMBER(F428))),"Cantidad no es número",IF(N(F428)&lt;=0,"Falta cantidad",IF(OR(AND(G428&lt;&gt;"",NOT(ISNUMBER(G428))),AND(H428&lt;&gt;"",NOT(ISNUMBER(H428)))),"Precio no es número",IF(N(G428)+N(H428)&lt;=0,"Falta precio","✓ OK")))))))))))</f>
        <v/>
      </c>
      <c r="M428" t="str">
        <f>IF(N428&lt;&gt;"W","",IF(TRIM(C428)&lt;&gt;"",TRIM(C428),IFERROR(LOOKUP(2,1/(N$9:N428="T"),D$9:D428),"")))</f>
        <v/>
      </c>
      <c r="N428" t="str">
        <f t="shared" si="20"/>
        <v/>
      </c>
      <c r="O428" t="str">
        <f>IF(M428="","",IF(COUNTIF(M$9:M428,M428)=1,MAX(O$8:O427)+1,""))</f>
        <v/>
      </c>
    </row>
    <row r="429" spans="1:15" x14ac:dyDescent="0.75">
      <c r="A429" s="24" t="str">
        <f>IF(N429="W",COUNTIF(N$9:N429,"W"),"")</f>
        <v/>
      </c>
      <c r="B429" s="25"/>
      <c r="C429" s="25"/>
      <c r="D429" s="26"/>
      <c r="E429" s="25"/>
      <c r="F429" s="27"/>
      <c r="G429" s="28"/>
      <c r="H429" s="28"/>
      <c r="I429" s="29" t="str">
        <f t="shared" si="18"/>
        <v/>
      </c>
      <c r="J429" s="30" t="str">
        <f t="shared" si="19"/>
        <v/>
      </c>
      <c r="K429" s="26"/>
      <c r="L429" s="24" t="str">
        <f>IF(N429="","",IF(N429="T","Título de capítulo",IF(OR(ISERROR(F429),ISERROR(G429),ISERROR(H429)),"Error en fórmula: pegá como valores",IF(AND(B429="",$C$6=""),"Falta sector",IF(M429="","Falta capítulo",IF(TRIM(E429)="","Falta unidad",IF(NOT((COUNTIF(Listas!$A$2:$A$40,E429)+COUNTIF(Listas!$D$2:$D$60,E429)&gt;0)),"Unidad no reconocida",IF(AND(F429&lt;&gt;"",NOT(ISNUMBER(F429))),"Cantidad no es número",IF(N(F429)&lt;=0,"Falta cantidad",IF(OR(AND(G429&lt;&gt;"",NOT(ISNUMBER(G429))),AND(H429&lt;&gt;"",NOT(ISNUMBER(H429)))),"Precio no es número",IF(N(G429)+N(H429)&lt;=0,"Falta precio","✓ OK")))))))))))</f>
        <v/>
      </c>
      <c r="M429" t="str">
        <f>IF(N429&lt;&gt;"W","",IF(TRIM(C429)&lt;&gt;"",TRIM(C429),IFERROR(LOOKUP(2,1/(N$9:N429="T"),D$9:D429),"")))</f>
        <v/>
      </c>
      <c r="N429" t="str">
        <f t="shared" si="20"/>
        <v/>
      </c>
      <c r="O429" t="str">
        <f>IF(M429="","",IF(COUNTIF(M$9:M429,M429)=1,MAX(O$8:O428)+1,""))</f>
        <v/>
      </c>
    </row>
    <row r="430" spans="1:15" x14ac:dyDescent="0.75">
      <c r="A430" s="24" t="str">
        <f>IF(N430="W",COUNTIF(N$9:N430,"W"),"")</f>
        <v/>
      </c>
      <c r="B430" s="25"/>
      <c r="C430" s="25"/>
      <c r="D430" s="26"/>
      <c r="E430" s="25"/>
      <c r="F430" s="27"/>
      <c r="G430" s="28"/>
      <c r="H430" s="28"/>
      <c r="I430" s="29" t="str">
        <f t="shared" si="18"/>
        <v/>
      </c>
      <c r="J430" s="30" t="str">
        <f t="shared" si="19"/>
        <v/>
      </c>
      <c r="K430" s="26"/>
      <c r="L430" s="24" t="str">
        <f>IF(N430="","",IF(N430="T","Título de capítulo",IF(OR(ISERROR(F430),ISERROR(G430),ISERROR(H430)),"Error en fórmula: pegá como valores",IF(AND(B430="",$C$6=""),"Falta sector",IF(M430="","Falta capítulo",IF(TRIM(E430)="","Falta unidad",IF(NOT((COUNTIF(Listas!$A$2:$A$40,E430)+COUNTIF(Listas!$D$2:$D$60,E430)&gt;0)),"Unidad no reconocida",IF(AND(F430&lt;&gt;"",NOT(ISNUMBER(F430))),"Cantidad no es número",IF(N(F430)&lt;=0,"Falta cantidad",IF(OR(AND(G430&lt;&gt;"",NOT(ISNUMBER(G430))),AND(H430&lt;&gt;"",NOT(ISNUMBER(H430)))),"Precio no es número",IF(N(G430)+N(H430)&lt;=0,"Falta precio","✓ OK")))))))))))</f>
        <v/>
      </c>
      <c r="M430" t="str">
        <f>IF(N430&lt;&gt;"W","",IF(TRIM(C430)&lt;&gt;"",TRIM(C430),IFERROR(LOOKUP(2,1/(N$9:N430="T"),D$9:D430),"")))</f>
        <v/>
      </c>
      <c r="N430" t="str">
        <f t="shared" si="20"/>
        <v/>
      </c>
      <c r="O430" t="str">
        <f>IF(M430="","",IF(COUNTIF(M$9:M430,M430)=1,MAX(O$8:O429)+1,""))</f>
        <v/>
      </c>
    </row>
    <row r="431" spans="1:15" x14ac:dyDescent="0.75">
      <c r="A431" s="24" t="str">
        <f>IF(N431="W",COUNTIF(N$9:N431,"W"),"")</f>
        <v/>
      </c>
      <c r="B431" s="25"/>
      <c r="C431" s="25"/>
      <c r="D431" s="26"/>
      <c r="E431" s="25"/>
      <c r="F431" s="27"/>
      <c r="G431" s="28"/>
      <c r="H431" s="28"/>
      <c r="I431" s="29" t="str">
        <f t="shared" si="18"/>
        <v/>
      </c>
      <c r="J431" s="30" t="str">
        <f t="shared" si="19"/>
        <v/>
      </c>
      <c r="K431" s="26"/>
      <c r="L431" s="24" t="str">
        <f>IF(N431="","",IF(N431="T","Título de capítulo",IF(OR(ISERROR(F431),ISERROR(G431),ISERROR(H431)),"Error en fórmula: pegá como valores",IF(AND(B431="",$C$6=""),"Falta sector",IF(M431="","Falta capítulo",IF(TRIM(E431)="","Falta unidad",IF(NOT((COUNTIF(Listas!$A$2:$A$40,E431)+COUNTIF(Listas!$D$2:$D$60,E431)&gt;0)),"Unidad no reconocida",IF(AND(F431&lt;&gt;"",NOT(ISNUMBER(F431))),"Cantidad no es número",IF(N(F431)&lt;=0,"Falta cantidad",IF(OR(AND(G431&lt;&gt;"",NOT(ISNUMBER(G431))),AND(H431&lt;&gt;"",NOT(ISNUMBER(H431)))),"Precio no es número",IF(N(G431)+N(H431)&lt;=0,"Falta precio","✓ OK")))))))))))</f>
        <v/>
      </c>
      <c r="M431" t="str">
        <f>IF(N431&lt;&gt;"W","",IF(TRIM(C431)&lt;&gt;"",TRIM(C431),IFERROR(LOOKUP(2,1/(N$9:N431="T"),D$9:D431),"")))</f>
        <v/>
      </c>
      <c r="N431" t="str">
        <f t="shared" si="20"/>
        <v/>
      </c>
      <c r="O431" t="str">
        <f>IF(M431="","",IF(COUNTIF(M$9:M431,M431)=1,MAX(O$8:O430)+1,""))</f>
        <v/>
      </c>
    </row>
    <row r="432" spans="1:15" x14ac:dyDescent="0.75">
      <c r="A432" s="24" t="str">
        <f>IF(N432="W",COUNTIF(N$9:N432,"W"),"")</f>
        <v/>
      </c>
      <c r="B432" s="25"/>
      <c r="C432" s="25"/>
      <c r="D432" s="26"/>
      <c r="E432" s="25"/>
      <c r="F432" s="27"/>
      <c r="G432" s="28"/>
      <c r="H432" s="28"/>
      <c r="I432" s="29" t="str">
        <f t="shared" si="18"/>
        <v/>
      </c>
      <c r="J432" s="30" t="str">
        <f t="shared" si="19"/>
        <v/>
      </c>
      <c r="K432" s="26"/>
      <c r="L432" s="24" t="str">
        <f>IF(N432="","",IF(N432="T","Título de capítulo",IF(OR(ISERROR(F432),ISERROR(G432),ISERROR(H432)),"Error en fórmula: pegá como valores",IF(AND(B432="",$C$6=""),"Falta sector",IF(M432="","Falta capítulo",IF(TRIM(E432)="","Falta unidad",IF(NOT((COUNTIF(Listas!$A$2:$A$40,E432)+COUNTIF(Listas!$D$2:$D$60,E432)&gt;0)),"Unidad no reconocida",IF(AND(F432&lt;&gt;"",NOT(ISNUMBER(F432))),"Cantidad no es número",IF(N(F432)&lt;=0,"Falta cantidad",IF(OR(AND(G432&lt;&gt;"",NOT(ISNUMBER(G432))),AND(H432&lt;&gt;"",NOT(ISNUMBER(H432)))),"Precio no es número",IF(N(G432)+N(H432)&lt;=0,"Falta precio","✓ OK")))))))))))</f>
        <v/>
      </c>
      <c r="M432" t="str">
        <f>IF(N432&lt;&gt;"W","",IF(TRIM(C432)&lt;&gt;"",TRIM(C432),IFERROR(LOOKUP(2,1/(N$9:N432="T"),D$9:D432),"")))</f>
        <v/>
      </c>
      <c r="N432" t="str">
        <f t="shared" si="20"/>
        <v/>
      </c>
      <c r="O432" t="str">
        <f>IF(M432="","",IF(COUNTIF(M$9:M432,M432)=1,MAX(O$8:O431)+1,""))</f>
        <v/>
      </c>
    </row>
    <row r="433" spans="1:15" x14ac:dyDescent="0.75">
      <c r="A433" s="24" t="str">
        <f>IF(N433="W",COUNTIF(N$9:N433,"W"),"")</f>
        <v/>
      </c>
      <c r="B433" s="25"/>
      <c r="C433" s="25"/>
      <c r="D433" s="26"/>
      <c r="E433" s="25"/>
      <c r="F433" s="27"/>
      <c r="G433" s="28"/>
      <c r="H433" s="28"/>
      <c r="I433" s="29" t="str">
        <f t="shared" si="18"/>
        <v/>
      </c>
      <c r="J433" s="30" t="str">
        <f t="shared" si="19"/>
        <v/>
      </c>
      <c r="K433" s="26"/>
      <c r="L433" s="24" t="str">
        <f>IF(N433="","",IF(N433="T","Título de capítulo",IF(OR(ISERROR(F433),ISERROR(G433),ISERROR(H433)),"Error en fórmula: pegá como valores",IF(AND(B433="",$C$6=""),"Falta sector",IF(M433="","Falta capítulo",IF(TRIM(E433)="","Falta unidad",IF(NOT((COUNTIF(Listas!$A$2:$A$40,E433)+COUNTIF(Listas!$D$2:$D$60,E433)&gt;0)),"Unidad no reconocida",IF(AND(F433&lt;&gt;"",NOT(ISNUMBER(F433))),"Cantidad no es número",IF(N(F433)&lt;=0,"Falta cantidad",IF(OR(AND(G433&lt;&gt;"",NOT(ISNUMBER(G433))),AND(H433&lt;&gt;"",NOT(ISNUMBER(H433)))),"Precio no es número",IF(N(G433)+N(H433)&lt;=0,"Falta precio","✓ OK")))))))))))</f>
        <v/>
      </c>
      <c r="M433" t="str">
        <f>IF(N433&lt;&gt;"W","",IF(TRIM(C433)&lt;&gt;"",TRIM(C433),IFERROR(LOOKUP(2,1/(N$9:N433="T"),D$9:D433),"")))</f>
        <v/>
      </c>
      <c r="N433" t="str">
        <f t="shared" si="20"/>
        <v/>
      </c>
      <c r="O433" t="str">
        <f>IF(M433="","",IF(COUNTIF(M$9:M433,M433)=1,MAX(O$8:O432)+1,""))</f>
        <v/>
      </c>
    </row>
    <row r="434" spans="1:15" x14ac:dyDescent="0.75">
      <c r="A434" s="24" t="str">
        <f>IF(N434="W",COUNTIF(N$9:N434,"W"),"")</f>
        <v/>
      </c>
      <c r="B434" s="25"/>
      <c r="C434" s="25"/>
      <c r="D434" s="26"/>
      <c r="E434" s="25"/>
      <c r="F434" s="27"/>
      <c r="G434" s="28"/>
      <c r="H434" s="28"/>
      <c r="I434" s="29" t="str">
        <f t="shared" si="18"/>
        <v/>
      </c>
      <c r="J434" s="30" t="str">
        <f t="shared" si="19"/>
        <v/>
      </c>
      <c r="K434" s="26"/>
      <c r="L434" s="24" t="str">
        <f>IF(N434="","",IF(N434="T","Título de capítulo",IF(OR(ISERROR(F434),ISERROR(G434),ISERROR(H434)),"Error en fórmula: pegá como valores",IF(AND(B434="",$C$6=""),"Falta sector",IF(M434="","Falta capítulo",IF(TRIM(E434)="","Falta unidad",IF(NOT((COUNTIF(Listas!$A$2:$A$40,E434)+COUNTIF(Listas!$D$2:$D$60,E434)&gt;0)),"Unidad no reconocida",IF(AND(F434&lt;&gt;"",NOT(ISNUMBER(F434))),"Cantidad no es número",IF(N(F434)&lt;=0,"Falta cantidad",IF(OR(AND(G434&lt;&gt;"",NOT(ISNUMBER(G434))),AND(H434&lt;&gt;"",NOT(ISNUMBER(H434)))),"Precio no es número",IF(N(G434)+N(H434)&lt;=0,"Falta precio","✓ OK")))))))))))</f>
        <v/>
      </c>
      <c r="M434" t="str">
        <f>IF(N434&lt;&gt;"W","",IF(TRIM(C434)&lt;&gt;"",TRIM(C434),IFERROR(LOOKUP(2,1/(N$9:N434="T"),D$9:D434),"")))</f>
        <v/>
      </c>
      <c r="N434" t="str">
        <f t="shared" si="20"/>
        <v/>
      </c>
      <c r="O434" t="str">
        <f>IF(M434="","",IF(COUNTIF(M$9:M434,M434)=1,MAX(O$8:O433)+1,""))</f>
        <v/>
      </c>
    </row>
    <row r="435" spans="1:15" x14ac:dyDescent="0.75">
      <c r="A435" s="24" t="str">
        <f>IF(N435="W",COUNTIF(N$9:N435,"W"),"")</f>
        <v/>
      </c>
      <c r="B435" s="25"/>
      <c r="C435" s="25"/>
      <c r="D435" s="26"/>
      <c r="E435" s="25"/>
      <c r="F435" s="27"/>
      <c r="G435" s="28"/>
      <c r="H435" s="28"/>
      <c r="I435" s="29" t="str">
        <f t="shared" si="18"/>
        <v/>
      </c>
      <c r="J435" s="30" t="str">
        <f t="shared" si="19"/>
        <v/>
      </c>
      <c r="K435" s="26"/>
      <c r="L435" s="24" t="str">
        <f>IF(N435="","",IF(N435="T","Título de capítulo",IF(OR(ISERROR(F435),ISERROR(G435),ISERROR(H435)),"Error en fórmula: pegá como valores",IF(AND(B435="",$C$6=""),"Falta sector",IF(M435="","Falta capítulo",IF(TRIM(E435)="","Falta unidad",IF(NOT((COUNTIF(Listas!$A$2:$A$40,E435)+COUNTIF(Listas!$D$2:$D$60,E435)&gt;0)),"Unidad no reconocida",IF(AND(F435&lt;&gt;"",NOT(ISNUMBER(F435))),"Cantidad no es número",IF(N(F435)&lt;=0,"Falta cantidad",IF(OR(AND(G435&lt;&gt;"",NOT(ISNUMBER(G435))),AND(H435&lt;&gt;"",NOT(ISNUMBER(H435)))),"Precio no es número",IF(N(G435)+N(H435)&lt;=0,"Falta precio","✓ OK")))))))))))</f>
        <v/>
      </c>
      <c r="M435" t="str">
        <f>IF(N435&lt;&gt;"W","",IF(TRIM(C435)&lt;&gt;"",TRIM(C435),IFERROR(LOOKUP(2,1/(N$9:N435="T"),D$9:D435),"")))</f>
        <v/>
      </c>
      <c r="N435" t="str">
        <f t="shared" si="20"/>
        <v/>
      </c>
      <c r="O435" t="str">
        <f>IF(M435="","",IF(COUNTIF(M$9:M435,M435)=1,MAX(O$8:O434)+1,""))</f>
        <v/>
      </c>
    </row>
    <row r="436" spans="1:15" x14ac:dyDescent="0.75">
      <c r="A436" s="24" t="str">
        <f>IF(N436="W",COUNTIF(N$9:N436,"W"),"")</f>
        <v/>
      </c>
      <c r="B436" s="25"/>
      <c r="C436" s="25"/>
      <c r="D436" s="26"/>
      <c r="E436" s="25"/>
      <c r="F436" s="27"/>
      <c r="G436" s="28"/>
      <c r="H436" s="28"/>
      <c r="I436" s="29" t="str">
        <f t="shared" si="18"/>
        <v/>
      </c>
      <c r="J436" s="30" t="str">
        <f t="shared" si="19"/>
        <v/>
      </c>
      <c r="K436" s="26"/>
      <c r="L436" s="24" t="str">
        <f>IF(N436="","",IF(N436="T","Título de capítulo",IF(OR(ISERROR(F436),ISERROR(G436),ISERROR(H436)),"Error en fórmula: pegá como valores",IF(AND(B436="",$C$6=""),"Falta sector",IF(M436="","Falta capítulo",IF(TRIM(E436)="","Falta unidad",IF(NOT((COUNTIF(Listas!$A$2:$A$40,E436)+COUNTIF(Listas!$D$2:$D$60,E436)&gt;0)),"Unidad no reconocida",IF(AND(F436&lt;&gt;"",NOT(ISNUMBER(F436))),"Cantidad no es número",IF(N(F436)&lt;=0,"Falta cantidad",IF(OR(AND(G436&lt;&gt;"",NOT(ISNUMBER(G436))),AND(H436&lt;&gt;"",NOT(ISNUMBER(H436)))),"Precio no es número",IF(N(G436)+N(H436)&lt;=0,"Falta precio","✓ OK")))))))))))</f>
        <v/>
      </c>
      <c r="M436" t="str">
        <f>IF(N436&lt;&gt;"W","",IF(TRIM(C436)&lt;&gt;"",TRIM(C436),IFERROR(LOOKUP(2,1/(N$9:N436="T"),D$9:D436),"")))</f>
        <v/>
      </c>
      <c r="N436" t="str">
        <f t="shared" si="20"/>
        <v/>
      </c>
      <c r="O436" t="str">
        <f>IF(M436="","",IF(COUNTIF(M$9:M436,M436)=1,MAX(O$8:O435)+1,""))</f>
        <v/>
      </c>
    </row>
    <row r="437" spans="1:15" x14ac:dyDescent="0.75">
      <c r="A437" s="24" t="str">
        <f>IF(N437="W",COUNTIF(N$9:N437,"W"),"")</f>
        <v/>
      </c>
      <c r="B437" s="25"/>
      <c r="C437" s="25"/>
      <c r="D437" s="26"/>
      <c r="E437" s="25"/>
      <c r="F437" s="27"/>
      <c r="G437" s="28"/>
      <c r="H437" s="28"/>
      <c r="I437" s="29" t="str">
        <f t="shared" si="18"/>
        <v/>
      </c>
      <c r="J437" s="30" t="str">
        <f t="shared" si="19"/>
        <v/>
      </c>
      <c r="K437" s="26"/>
      <c r="L437" s="24" t="str">
        <f>IF(N437="","",IF(N437="T","Título de capítulo",IF(OR(ISERROR(F437),ISERROR(G437),ISERROR(H437)),"Error en fórmula: pegá como valores",IF(AND(B437="",$C$6=""),"Falta sector",IF(M437="","Falta capítulo",IF(TRIM(E437)="","Falta unidad",IF(NOT((COUNTIF(Listas!$A$2:$A$40,E437)+COUNTIF(Listas!$D$2:$D$60,E437)&gt;0)),"Unidad no reconocida",IF(AND(F437&lt;&gt;"",NOT(ISNUMBER(F437))),"Cantidad no es número",IF(N(F437)&lt;=0,"Falta cantidad",IF(OR(AND(G437&lt;&gt;"",NOT(ISNUMBER(G437))),AND(H437&lt;&gt;"",NOT(ISNUMBER(H437)))),"Precio no es número",IF(N(G437)+N(H437)&lt;=0,"Falta precio","✓ OK")))))))))))</f>
        <v/>
      </c>
      <c r="M437" t="str">
        <f>IF(N437&lt;&gt;"W","",IF(TRIM(C437)&lt;&gt;"",TRIM(C437),IFERROR(LOOKUP(2,1/(N$9:N437="T"),D$9:D437),"")))</f>
        <v/>
      </c>
      <c r="N437" t="str">
        <f t="shared" si="20"/>
        <v/>
      </c>
      <c r="O437" t="str">
        <f>IF(M437="","",IF(COUNTIF(M$9:M437,M437)=1,MAX(O$8:O436)+1,""))</f>
        <v/>
      </c>
    </row>
    <row r="438" spans="1:15" x14ac:dyDescent="0.75">
      <c r="A438" s="24" t="str">
        <f>IF(N438="W",COUNTIF(N$9:N438,"W"),"")</f>
        <v/>
      </c>
      <c r="B438" s="25"/>
      <c r="C438" s="25"/>
      <c r="D438" s="26"/>
      <c r="E438" s="25"/>
      <c r="F438" s="27"/>
      <c r="G438" s="28"/>
      <c r="H438" s="28"/>
      <c r="I438" s="29" t="str">
        <f t="shared" si="18"/>
        <v/>
      </c>
      <c r="J438" s="30" t="str">
        <f t="shared" si="19"/>
        <v/>
      </c>
      <c r="K438" s="26"/>
      <c r="L438" s="24" t="str">
        <f>IF(N438="","",IF(N438="T","Título de capítulo",IF(OR(ISERROR(F438),ISERROR(G438),ISERROR(H438)),"Error en fórmula: pegá como valores",IF(AND(B438="",$C$6=""),"Falta sector",IF(M438="","Falta capítulo",IF(TRIM(E438)="","Falta unidad",IF(NOT((COUNTIF(Listas!$A$2:$A$40,E438)+COUNTIF(Listas!$D$2:$D$60,E438)&gt;0)),"Unidad no reconocida",IF(AND(F438&lt;&gt;"",NOT(ISNUMBER(F438))),"Cantidad no es número",IF(N(F438)&lt;=0,"Falta cantidad",IF(OR(AND(G438&lt;&gt;"",NOT(ISNUMBER(G438))),AND(H438&lt;&gt;"",NOT(ISNUMBER(H438)))),"Precio no es número",IF(N(G438)+N(H438)&lt;=0,"Falta precio","✓ OK")))))))))))</f>
        <v/>
      </c>
      <c r="M438" t="str">
        <f>IF(N438&lt;&gt;"W","",IF(TRIM(C438)&lt;&gt;"",TRIM(C438),IFERROR(LOOKUP(2,1/(N$9:N438="T"),D$9:D438),"")))</f>
        <v/>
      </c>
      <c r="N438" t="str">
        <f t="shared" si="20"/>
        <v/>
      </c>
      <c r="O438" t="str">
        <f>IF(M438="","",IF(COUNTIF(M$9:M438,M438)=1,MAX(O$8:O437)+1,""))</f>
        <v/>
      </c>
    </row>
    <row r="439" spans="1:15" x14ac:dyDescent="0.75">
      <c r="A439" s="24" t="str">
        <f>IF(N439="W",COUNTIF(N$9:N439,"W"),"")</f>
        <v/>
      </c>
      <c r="B439" s="25"/>
      <c r="C439" s="25"/>
      <c r="D439" s="26"/>
      <c r="E439" s="25"/>
      <c r="F439" s="27"/>
      <c r="G439" s="28"/>
      <c r="H439" s="28"/>
      <c r="I439" s="29" t="str">
        <f t="shared" si="18"/>
        <v/>
      </c>
      <c r="J439" s="30" t="str">
        <f t="shared" si="19"/>
        <v/>
      </c>
      <c r="K439" s="26"/>
      <c r="L439" s="24" t="str">
        <f>IF(N439="","",IF(N439="T","Título de capítulo",IF(OR(ISERROR(F439),ISERROR(G439),ISERROR(H439)),"Error en fórmula: pegá como valores",IF(AND(B439="",$C$6=""),"Falta sector",IF(M439="","Falta capítulo",IF(TRIM(E439)="","Falta unidad",IF(NOT((COUNTIF(Listas!$A$2:$A$40,E439)+COUNTIF(Listas!$D$2:$D$60,E439)&gt;0)),"Unidad no reconocida",IF(AND(F439&lt;&gt;"",NOT(ISNUMBER(F439))),"Cantidad no es número",IF(N(F439)&lt;=0,"Falta cantidad",IF(OR(AND(G439&lt;&gt;"",NOT(ISNUMBER(G439))),AND(H439&lt;&gt;"",NOT(ISNUMBER(H439)))),"Precio no es número",IF(N(G439)+N(H439)&lt;=0,"Falta precio","✓ OK")))))))))))</f>
        <v/>
      </c>
      <c r="M439" t="str">
        <f>IF(N439&lt;&gt;"W","",IF(TRIM(C439)&lt;&gt;"",TRIM(C439),IFERROR(LOOKUP(2,1/(N$9:N439="T"),D$9:D439),"")))</f>
        <v/>
      </c>
      <c r="N439" t="str">
        <f t="shared" si="20"/>
        <v/>
      </c>
      <c r="O439" t="str">
        <f>IF(M439="","",IF(COUNTIF(M$9:M439,M439)=1,MAX(O$8:O438)+1,""))</f>
        <v/>
      </c>
    </row>
    <row r="440" spans="1:15" x14ac:dyDescent="0.75">
      <c r="A440" s="24" t="str">
        <f>IF(N440="W",COUNTIF(N$9:N440,"W"),"")</f>
        <v/>
      </c>
      <c r="B440" s="25"/>
      <c r="C440" s="25"/>
      <c r="D440" s="26"/>
      <c r="E440" s="25"/>
      <c r="F440" s="27"/>
      <c r="G440" s="28"/>
      <c r="H440" s="28"/>
      <c r="I440" s="29" t="str">
        <f t="shared" si="18"/>
        <v/>
      </c>
      <c r="J440" s="30" t="str">
        <f t="shared" si="19"/>
        <v/>
      </c>
      <c r="K440" s="26"/>
      <c r="L440" s="24" t="str">
        <f>IF(N440="","",IF(N440="T","Título de capítulo",IF(OR(ISERROR(F440),ISERROR(G440),ISERROR(H440)),"Error en fórmula: pegá como valores",IF(AND(B440="",$C$6=""),"Falta sector",IF(M440="","Falta capítulo",IF(TRIM(E440)="","Falta unidad",IF(NOT((COUNTIF(Listas!$A$2:$A$40,E440)+COUNTIF(Listas!$D$2:$D$60,E440)&gt;0)),"Unidad no reconocida",IF(AND(F440&lt;&gt;"",NOT(ISNUMBER(F440))),"Cantidad no es número",IF(N(F440)&lt;=0,"Falta cantidad",IF(OR(AND(G440&lt;&gt;"",NOT(ISNUMBER(G440))),AND(H440&lt;&gt;"",NOT(ISNUMBER(H440)))),"Precio no es número",IF(N(G440)+N(H440)&lt;=0,"Falta precio","✓ OK")))))))))))</f>
        <v/>
      </c>
      <c r="M440" t="str">
        <f>IF(N440&lt;&gt;"W","",IF(TRIM(C440)&lt;&gt;"",TRIM(C440),IFERROR(LOOKUP(2,1/(N$9:N440="T"),D$9:D440),"")))</f>
        <v/>
      </c>
      <c r="N440" t="str">
        <f t="shared" si="20"/>
        <v/>
      </c>
      <c r="O440" t="str">
        <f>IF(M440="","",IF(COUNTIF(M$9:M440,M440)=1,MAX(O$8:O439)+1,""))</f>
        <v/>
      </c>
    </row>
    <row r="441" spans="1:15" x14ac:dyDescent="0.75">
      <c r="A441" s="24" t="str">
        <f>IF(N441="W",COUNTIF(N$9:N441,"W"),"")</f>
        <v/>
      </c>
      <c r="B441" s="25"/>
      <c r="C441" s="25"/>
      <c r="D441" s="26"/>
      <c r="E441" s="25"/>
      <c r="F441" s="27"/>
      <c r="G441" s="28"/>
      <c r="H441" s="28"/>
      <c r="I441" s="29" t="str">
        <f t="shared" si="18"/>
        <v/>
      </c>
      <c r="J441" s="30" t="str">
        <f t="shared" si="19"/>
        <v/>
      </c>
      <c r="K441" s="26"/>
      <c r="L441" s="24" t="str">
        <f>IF(N441="","",IF(N441="T","Título de capítulo",IF(OR(ISERROR(F441),ISERROR(G441),ISERROR(H441)),"Error en fórmula: pegá como valores",IF(AND(B441="",$C$6=""),"Falta sector",IF(M441="","Falta capítulo",IF(TRIM(E441)="","Falta unidad",IF(NOT((COUNTIF(Listas!$A$2:$A$40,E441)+COUNTIF(Listas!$D$2:$D$60,E441)&gt;0)),"Unidad no reconocida",IF(AND(F441&lt;&gt;"",NOT(ISNUMBER(F441))),"Cantidad no es número",IF(N(F441)&lt;=0,"Falta cantidad",IF(OR(AND(G441&lt;&gt;"",NOT(ISNUMBER(G441))),AND(H441&lt;&gt;"",NOT(ISNUMBER(H441)))),"Precio no es número",IF(N(G441)+N(H441)&lt;=0,"Falta precio","✓ OK")))))))))))</f>
        <v/>
      </c>
      <c r="M441" t="str">
        <f>IF(N441&lt;&gt;"W","",IF(TRIM(C441)&lt;&gt;"",TRIM(C441),IFERROR(LOOKUP(2,1/(N$9:N441="T"),D$9:D441),"")))</f>
        <v/>
      </c>
      <c r="N441" t="str">
        <f t="shared" si="20"/>
        <v/>
      </c>
      <c r="O441" t="str">
        <f>IF(M441="","",IF(COUNTIF(M$9:M441,M441)=1,MAX(O$8:O440)+1,""))</f>
        <v/>
      </c>
    </row>
    <row r="442" spans="1:15" x14ac:dyDescent="0.75">
      <c r="A442" s="24" t="str">
        <f>IF(N442="W",COUNTIF(N$9:N442,"W"),"")</f>
        <v/>
      </c>
      <c r="B442" s="25"/>
      <c r="C442" s="25"/>
      <c r="D442" s="26"/>
      <c r="E442" s="25"/>
      <c r="F442" s="27"/>
      <c r="G442" s="28"/>
      <c r="H442" s="28"/>
      <c r="I442" s="29" t="str">
        <f t="shared" si="18"/>
        <v/>
      </c>
      <c r="J442" s="30" t="str">
        <f t="shared" si="19"/>
        <v/>
      </c>
      <c r="K442" s="26"/>
      <c r="L442" s="24" t="str">
        <f>IF(N442="","",IF(N442="T","Título de capítulo",IF(OR(ISERROR(F442),ISERROR(G442),ISERROR(H442)),"Error en fórmula: pegá como valores",IF(AND(B442="",$C$6=""),"Falta sector",IF(M442="","Falta capítulo",IF(TRIM(E442)="","Falta unidad",IF(NOT((COUNTIF(Listas!$A$2:$A$40,E442)+COUNTIF(Listas!$D$2:$D$60,E442)&gt;0)),"Unidad no reconocida",IF(AND(F442&lt;&gt;"",NOT(ISNUMBER(F442))),"Cantidad no es número",IF(N(F442)&lt;=0,"Falta cantidad",IF(OR(AND(G442&lt;&gt;"",NOT(ISNUMBER(G442))),AND(H442&lt;&gt;"",NOT(ISNUMBER(H442)))),"Precio no es número",IF(N(G442)+N(H442)&lt;=0,"Falta precio","✓ OK")))))))))))</f>
        <v/>
      </c>
      <c r="M442" t="str">
        <f>IF(N442&lt;&gt;"W","",IF(TRIM(C442)&lt;&gt;"",TRIM(C442),IFERROR(LOOKUP(2,1/(N$9:N442="T"),D$9:D442),"")))</f>
        <v/>
      </c>
      <c r="N442" t="str">
        <f t="shared" si="20"/>
        <v/>
      </c>
      <c r="O442" t="str">
        <f>IF(M442="","",IF(COUNTIF(M$9:M442,M442)=1,MAX(O$8:O441)+1,""))</f>
        <v/>
      </c>
    </row>
    <row r="443" spans="1:15" x14ac:dyDescent="0.75">
      <c r="A443" s="24" t="str">
        <f>IF(N443="W",COUNTIF(N$9:N443,"W"),"")</f>
        <v/>
      </c>
      <c r="B443" s="25"/>
      <c r="C443" s="25"/>
      <c r="D443" s="26"/>
      <c r="E443" s="25"/>
      <c r="F443" s="27"/>
      <c r="G443" s="28"/>
      <c r="H443" s="28"/>
      <c r="I443" s="29" t="str">
        <f t="shared" si="18"/>
        <v/>
      </c>
      <c r="J443" s="30" t="str">
        <f t="shared" si="19"/>
        <v/>
      </c>
      <c r="K443" s="26"/>
      <c r="L443" s="24" t="str">
        <f>IF(N443="","",IF(N443="T","Título de capítulo",IF(OR(ISERROR(F443),ISERROR(G443),ISERROR(H443)),"Error en fórmula: pegá como valores",IF(AND(B443="",$C$6=""),"Falta sector",IF(M443="","Falta capítulo",IF(TRIM(E443)="","Falta unidad",IF(NOT((COUNTIF(Listas!$A$2:$A$40,E443)+COUNTIF(Listas!$D$2:$D$60,E443)&gt;0)),"Unidad no reconocida",IF(AND(F443&lt;&gt;"",NOT(ISNUMBER(F443))),"Cantidad no es número",IF(N(F443)&lt;=0,"Falta cantidad",IF(OR(AND(G443&lt;&gt;"",NOT(ISNUMBER(G443))),AND(H443&lt;&gt;"",NOT(ISNUMBER(H443)))),"Precio no es número",IF(N(G443)+N(H443)&lt;=0,"Falta precio","✓ OK")))))))))))</f>
        <v/>
      </c>
      <c r="M443" t="str">
        <f>IF(N443&lt;&gt;"W","",IF(TRIM(C443)&lt;&gt;"",TRIM(C443),IFERROR(LOOKUP(2,1/(N$9:N443="T"),D$9:D443),"")))</f>
        <v/>
      </c>
      <c r="N443" t="str">
        <f t="shared" si="20"/>
        <v/>
      </c>
      <c r="O443" t="str">
        <f>IF(M443="","",IF(COUNTIF(M$9:M443,M443)=1,MAX(O$8:O442)+1,""))</f>
        <v/>
      </c>
    </row>
    <row r="444" spans="1:15" x14ac:dyDescent="0.75">
      <c r="A444" s="24" t="str">
        <f>IF(N444="W",COUNTIF(N$9:N444,"W"),"")</f>
        <v/>
      </c>
      <c r="B444" s="25"/>
      <c r="C444" s="25"/>
      <c r="D444" s="26"/>
      <c r="E444" s="25"/>
      <c r="F444" s="27"/>
      <c r="G444" s="28"/>
      <c r="H444" s="28"/>
      <c r="I444" s="29" t="str">
        <f t="shared" si="18"/>
        <v/>
      </c>
      <c r="J444" s="30" t="str">
        <f t="shared" si="19"/>
        <v/>
      </c>
      <c r="K444" s="26"/>
      <c r="L444" s="24" t="str">
        <f>IF(N444="","",IF(N444="T","Título de capítulo",IF(OR(ISERROR(F444),ISERROR(G444),ISERROR(H444)),"Error en fórmula: pegá como valores",IF(AND(B444="",$C$6=""),"Falta sector",IF(M444="","Falta capítulo",IF(TRIM(E444)="","Falta unidad",IF(NOT((COUNTIF(Listas!$A$2:$A$40,E444)+COUNTIF(Listas!$D$2:$D$60,E444)&gt;0)),"Unidad no reconocida",IF(AND(F444&lt;&gt;"",NOT(ISNUMBER(F444))),"Cantidad no es número",IF(N(F444)&lt;=0,"Falta cantidad",IF(OR(AND(G444&lt;&gt;"",NOT(ISNUMBER(G444))),AND(H444&lt;&gt;"",NOT(ISNUMBER(H444)))),"Precio no es número",IF(N(G444)+N(H444)&lt;=0,"Falta precio","✓ OK")))))))))))</f>
        <v/>
      </c>
      <c r="M444" t="str">
        <f>IF(N444&lt;&gt;"W","",IF(TRIM(C444)&lt;&gt;"",TRIM(C444),IFERROR(LOOKUP(2,1/(N$9:N444="T"),D$9:D444),"")))</f>
        <v/>
      </c>
      <c r="N444" t="str">
        <f t="shared" si="20"/>
        <v/>
      </c>
      <c r="O444" t="str">
        <f>IF(M444="","",IF(COUNTIF(M$9:M444,M444)=1,MAX(O$8:O443)+1,""))</f>
        <v/>
      </c>
    </row>
    <row r="445" spans="1:15" x14ac:dyDescent="0.75">
      <c r="A445" s="24" t="str">
        <f>IF(N445="W",COUNTIF(N$9:N445,"W"),"")</f>
        <v/>
      </c>
      <c r="B445" s="25"/>
      <c r="C445" s="25"/>
      <c r="D445" s="26"/>
      <c r="E445" s="25"/>
      <c r="F445" s="27"/>
      <c r="G445" s="28"/>
      <c r="H445" s="28"/>
      <c r="I445" s="29" t="str">
        <f t="shared" si="18"/>
        <v/>
      </c>
      <c r="J445" s="30" t="str">
        <f t="shared" si="19"/>
        <v/>
      </c>
      <c r="K445" s="26"/>
      <c r="L445" s="24" t="str">
        <f>IF(N445="","",IF(N445="T","Título de capítulo",IF(OR(ISERROR(F445),ISERROR(G445),ISERROR(H445)),"Error en fórmula: pegá como valores",IF(AND(B445="",$C$6=""),"Falta sector",IF(M445="","Falta capítulo",IF(TRIM(E445)="","Falta unidad",IF(NOT((COUNTIF(Listas!$A$2:$A$40,E445)+COUNTIF(Listas!$D$2:$D$60,E445)&gt;0)),"Unidad no reconocida",IF(AND(F445&lt;&gt;"",NOT(ISNUMBER(F445))),"Cantidad no es número",IF(N(F445)&lt;=0,"Falta cantidad",IF(OR(AND(G445&lt;&gt;"",NOT(ISNUMBER(G445))),AND(H445&lt;&gt;"",NOT(ISNUMBER(H445)))),"Precio no es número",IF(N(G445)+N(H445)&lt;=0,"Falta precio","✓ OK")))))))))))</f>
        <v/>
      </c>
      <c r="M445" t="str">
        <f>IF(N445&lt;&gt;"W","",IF(TRIM(C445)&lt;&gt;"",TRIM(C445),IFERROR(LOOKUP(2,1/(N$9:N445="T"),D$9:D445),"")))</f>
        <v/>
      </c>
      <c r="N445" t="str">
        <f t="shared" si="20"/>
        <v/>
      </c>
      <c r="O445" t="str">
        <f>IF(M445="","",IF(COUNTIF(M$9:M445,M445)=1,MAX(O$8:O444)+1,""))</f>
        <v/>
      </c>
    </row>
    <row r="446" spans="1:15" x14ac:dyDescent="0.75">
      <c r="A446" s="24" t="str">
        <f>IF(N446="W",COUNTIF(N$9:N446,"W"),"")</f>
        <v/>
      </c>
      <c r="B446" s="25"/>
      <c r="C446" s="25"/>
      <c r="D446" s="26"/>
      <c r="E446" s="25"/>
      <c r="F446" s="27"/>
      <c r="G446" s="28"/>
      <c r="H446" s="28"/>
      <c r="I446" s="29" t="str">
        <f t="shared" si="18"/>
        <v/>
      </c>
      <c r="J446" s="30" t="str">
        <f t="shared" si="19"/>
        <v/>
      </c>
      <c r="K446" s="26"/>
      <c r="L446" s="24" t="str">
        <f>IF(N446="","",IF(N446="T","Título de capítulo",IF(OR(ISERROR(F446),ISERROR(G446),ISERROR(H446)),"Error en fórmula: pegá como valores",IF(AND(B446="",$C$6=""),"Falta sector",IF(M446="","Falta capítulo",IF(TRIM(E446)="","Falta unidad",IF(NOT((COUNTIF(Listas!$A$2:$A$40,E446)+COUNTIF(Listas!$D$2:$D$60,E446)&gt;0)),"Unidad no reconocida",IF(AND(F446&lt;&gt;"",NOT(ISNUMBER(F446))),"Cantidad no es número",IF(N(F446)&lt;=0,"Falta cantidad",IF(OR(AND(G446&lt;&gt;"",NOT(ISNUMBER(G446))),AND(H446&lt;&gt;"",NOT(ISNUMBER(H446)))),"Precio no es número",IF(N(G446)+N(H446)&lt;=0,"Falta precio","✓ OK")))))))))))</f>
        <v/>
      </c>
      <c r="M446" t="str">
        <f>IF(N446&lt;&gt;"W","",IF(TRIM(C446)&lt;&gt;"",TRIM(C446),IFERROR(LOOKUP(2,1/(N$9:N446="T"),D$9:D446),"")))</f>
        <v/>
      </c>
      <c r="N446" t="str">
        <f t="shared" si="20"/>
        <v/>
      </c>
      <c r="O446" t="str">
        <f>IF(M446="","",IF(COUNTIF(M$9:M446,M446)=1,MAX(O$8:O445)+1,""))</f>
        <v/>
      </c>
    </row>
    <row r="447" spans="1:15" x14ac:dyDescent="0.75">
      <c r="A447" s="24" t="str">
        <f>IF(N447="W",COUNTIF(N$9:N447,"W"),"")</f>
        <v/>
      </c>
      <c r="B447" s="25"/>
      <c r="C447" s="25"/>
      <c r="D447" s="26"/>
      <c r="E447" s="25"/>
      <c r="F447" s="27"/>
      <c r="G447" s="28"/>
      <c r="H447" s="28"/>
      <c r="I447" s="29" t="str">
        <f t="shared" si="18"/>
        <v/>
      </c>
      <c r="J447" s="30" t="str">
        <f t="shared" si="19"/>
        <v/>
      </c>
      <c r="K447" s="26"/>
      <c r="L447" s="24" t="str">
        <f>IF(N447="","",IF(N447="T","Título de capítulo",IF(OR(ISERROR(F447),ISERROR(G447),ISERROR(H447)),"Error en fórmula: pegá como valores",IF(AND(B447="",$C$6=""),"Falta sector",IF(M447="","Falta capítulo",IF(TRIM(E447)="","Falta unidad",IF(NOT((COUNTIF(Listas!$A$2:$A$40,E447)+COUNTIF(Listas!$D$2:$D$60,E447)&gt;0)),"Unidad no reconocida",IF(AND(F447&lt;&gt;"",NOT(ISNUMBER(F447))),"Cantidad no es número",IF(N(F447)&lt;=0,"Falta cantidad",IF(OR(AND(G447&lt;&gt;"",NOT(ISNUMBER(G447))),AND(H447&lt;&gt;"",NOT(ISNUMBER(H447)))),"Precio no es número",IF(N(G447)+N(H447)&lt;=0,"Falta precio","✓ OK")))))))))))</f>
        <v/>
      </c>
      <c r="M447" t="str">
        <f>IF(N447&lt;&gt;"W","",IF(TRIM(C447)&lt;&gt;"",TRIM(C447),IFERROR(LOOKUP(2,1/(N$9:N447="T"),D$9:D447),"")))</f>
        <v/>
      </c>
      <c r="N447" t="str">
        <f t="shared" si="20"/>
        <v/>
      </c>
      <c r="O447" t="str">
        <f>IF(M447="","",IF(COUNTIF(M$9:M447,M447)=1,MAX(O$8:O446)+1,""))</f>
        <v/>
      </c>
    </row>
    <row r="448" spans="1:15" x14ac:dyDescent="0.75">
      <c r="A448" s="24" t="str">
        <f>IF(N448="W",COUNTIF(N$9:N448,"W"),"")</f>
        <v/>
      </c>
      <c r="B448" s="25"/>
      <c r="C448" s="25"/>
      <c r="D448" s="26"/>
      <c r="E448" s="25"/>
      <c r="F448" s="27"/>
      <c r="G448" s="28"/>
      <c r="H448" s="28"/>
      <c r="I448" s="29" t="str">
        <f t="shared" si="18"/>
        <v/>
      </c>
      <c r="J448" s="30" t="str">
        <f t="shared" si="19"/>
        <v/>
      </c>
      <c r="K448" s="26"/>
      <c r="L448" s="24" t="str">
        <f>IF(N448="","",IF(N448="T","Título de capítulo",IF(OR(ISERROR(F448),ISERROR(G448),ISERROR(H448)),"Error en fórmula: pegá como valores",IF(AND(B448="",$C$6=""),"Falta sector",IF(M448="","Falta capítulo",IF(TRIM(E448)="","Falta unidad",IF(NOT((COUNTIF(Listas!$A$2:$A$40,E448)+COUNTIF(Listas!$D$2:$D$60,E448)&gt;0)),"Unidad no reconocida",IF(AND(F448&lt;&gt;"",NOT(ISNUMBER(F448))),"Cantidad no es número",IF(N(F448)&lt;=0,"Falta cantidad",IF(OR(AND(G448&lt;&gt;"",NOT(ISNUMBER(G448))),AND(H448&lt;&gt;"",NOT(ISNUMBER(H448)))),"Precio no es número",IF(N(G448)+N(H448)&lt;=0,"Falta precio","✓ OK")))))))))))</f>
        <v/>
      </c>
      <c r="M448" t="str">
        <f>IF(N448&lt;&gt;"W","",IF(TRIM(C448)&lt;&gt;"",TRIM(C448),IFERROR(LOOKUP(2,1/(N$9:N448="T"),D$9:D448),"")))</f>
        <v/>
      </c>
      <c r="N448" t="str">
        <f t="shared" si="20"/>
        <v/>
      </c>
      <c r="O448" t="str">
        <f>IF(M448="","",IF(COUNTIF(M$9:M448,M448)=1,MAX(O$8:O447)+1,""))</f>
        <v/>
      </c>
    </row>
    <row r="449" spans="1:15" x14ac:dyDescent="0.75">
      <c r="A449" s="24" t="str">
        <f>IF(N449="W",COUNTIF(N$9:N449,"W"),"")</f>
        <v/>
      </c>
      <c r="B449" s="25"/>
      <c r="C449" s="25"/>
      <c r="D449" s="26"/>
      <c r="E449" s="25"/>
      <c r="F449" s="27"/>
      <c r="G449" s="28"/>
      <c r="H449" s="28"/>
      <c r="I449" s="29" t="str">
        <f t="shared" si="18"/>
        <v/>
      </c>
      <c r="J449" s="30" t="str">
        <f t="shared" si="19"/>
        <v/>
      </c>
      <c r="K449" s="26"/>
      <c r="L449" s="24" t="str">
        <f>IF(N449="","",IF(N449="T","Título de capítulo",IF(OR(ISERROR(F449),ISERROR(G449),ISERROR(H449)),"Error en fórmula: pegá como valores",IF(AND(B449="",$C$6=""),"Falta sector",IF(M449="","Falta capítulo",IF(TRIM(E449)="","Falta unidad",IF(NOT((COUNTIF(Listas!$A$2:$A$40,E449)+COUNTIF(Listas!$D$2:$D$60,E449)&gt;0)),"Unidad no reconocida",IF(AND(F449&lt;&gt;"",NOT(ISNUMBER(F449))),"Cantidad no es número",IF(N(F449)&lt;=0,"Falta cantidad",IF(OR(AND(G449&lt;&gt;"",NOT(ISNUMBER(G449))),AND(H449&lt;&gt;"",NOT(ISNUMBER(H449)))),"Precio no es número",IF(N(G449)+N(H449)&lt;=0,"Falta precio","✓ OK")))))))))))</f>
        <v/>
      </c>
      <c r="M449" t="str">
        <f>IF(N449&lt;&gt;"W","",IF(TRIM(C449)&lt;&gt;"",TRIM(C449),IFERROR(LOOKUP(2,1/(N$9:N449="T"),D$9:D449),"")))</f>
        <v/>
      </c>
      <c r="N449" t="str">
        <f t="shared" si="20"/>
        <v/>
      </c>
      <c r="O449" t="str">
        <f>IF(M449="","",IF(COUNTIF(M$9:M449,M449)=1,MAX(O$8:O448)+1,""))</f>
        <v/>
      </c>
    </row>
    <row r="450" spans="1:15" x14ac:dyDescent="0.75">
      <c r="A450" s="24" t="str">
        <f>IF(N450="W",COUNTIF(N$9:N450,"W"),"")</f>
        <v/>
      </c>
      <c r="B450" s="25"/>
      <c r="C450" s="25"/>
      <c r="D450" s="26"/>
      <c r="E450" s="25"/>
      <c r="F450" s="27"/>
      <c r="G450" s="28"/>
      <c r="H450" s="28"/>
      <c r="I450" s="29" t="str">
        <f t="shared" si="18"/>
        <v/>
      </c>
      <c r="J450" s="30" t="str">
        <f t="shared" si="19"/>
        <v/>
      </c>
      <c r="K450" s="26"/>
      <c r="L450" s="24" t="str">
        <f>IF(N450="","",IF(N450="T","Título de capítulo",IF(OR(ISERROR(F450),ISERROR(G450),ISERROR(H450)),"Error en fórmula: pegá como valores",IF(AND(B450="",$C$6=""),"Falta sector",IF(M450="","Falta capítulo",IF(TRIM(E450)="","Falta unidad",IF(NOT((COUNTIF(Listas!$A$2:$A$40,E450)+COUNTIF(Listas!$D$2:$D$60,E450)&gt;0)),"Unidad no reconocida",IF(AND(F450&lt;&gt;"",NOT(ISNUMBER(F450))),"Cantidad no es número",IF(N(F450)&lt;=0,"Falta cantidad",IF(OR(AND(G450&lt;&gt;"",NOT(ISNUMBER(G450))),AND(H450&lt;&gt;"",NOT(ISNUMBER(H450)))),"Precio no es número",IF(N(G450)+N(H450)&lt;=0,"Falta precio","✓ OK")))))))))))</f>
        <v/>
      </c>
      <c r="M450" t="str">
        <f>IF(N450&lt;&gt;"W","",IF(TRIM(C450)&lt;&gt;"",TRIM(C450),IFERROR(LOOKUP(2,1/(N$9:N450="T"),D$9:D450),"")))</f>
        <v/>
      </c>
      <c r="N450" t="str">
        <f t="shared" si="20"/>
        <v/>
      </c>
      <c r="O450" t="str">
        <f>IF(M450="","",IF(COUNTIF(M$9:M450,M450)=1,MAX(O$8:O449)+1,""))</f>
        <v/>
      </c>
    </row>
    <row r="451" spans="1:15" x14ac:dyDescent="0.75">
      <c r="A451" s="24" t="str">
        <f>IF(N451="W",COUNTIF(N$9:N451,"W"),"")</f>
        <v/>
      </c>
      <c r="B451" s="25"/>
      <c r="C451" s="25"/>
      <c r="D451" s="26"/>
      <c r="E451" s="25"/>
      <c r="F451" s="27"/>
      <c r="G451" s="28"/>
      <c r="H451" s="28"/>
      <c r="I451" s="29" t="str">
        <f t="shared" si="18"/>
        <v/>
      </c>
      <c r="J451" s="30" t="str">
        <f t="shared" si="19"/>
        <v/>
      </c>
      <c r="K451" s="26"/>
      <c r="L451" s="24" t="str">
        <f>IF(N451="","",IF(N451="T","Título de capítulo",IF(OR(ISERROR(F451),ISERROR(G451),ISERROR(H451)),"Error en fórmula: pegá como valores",IF(AND(B451="",$C$6=""),"Falta sector",IF(M451="","Falta capítulo",IF(TRIM(E451)="","Falta unidad",IF(NOT((COUNTIF(Listas!$A$2:$A$40,E451)+COUNTIF(Listas!$D$2:$D$60,E451)&gt;0)),"Unidad no reconocida",IF(AND(F451&lt;&gt;"",NOT(ISNUMBER(F451))),"Cantidad no es número",IF(N(F451)&lt;=0,"Falta cantidad",IF(OR(AND(G451&lt;&gt;"",NOT(ISNUMBER(G451))),AND(H451&lt;&gt;"",NOT(ISNUMBER(H451)))),"Precio no es número",IF(N(G451)+N(H451)&lt;=0,"Falta precio","✓ OK")))))))))))</f>
        <v/>
      </c>
      <c r="M451" t="str">
        <f>IF(N451&lt;&gt;"W","",IF(TRIM(C451)&lt;&gt;"",TRIM(C451),IFERROR(LOOKUP(2,1/(N$9:N451="T"),D$9:D451),"")))</f>
        <v/>
      </c>
      <c r="N451" t="str">
        <f t="shared" si="20"/>
        <v/>
      </c>
      <c r="O451" t="str">
        <f>IF(M451="","",IF(COUNTIF(M$9:M451,M451)=1,MAX(O$8:O450)+1,""))</f>
        <v/>
      </c>
    </row>
    <row r="452" spans="1:15" x14ac:dyDescent="0.75">
      <c r="A452" s="24" t="str">
        <f>IF(N452="W",COUNTIF(N$9:N452,"W"),"")</f>
        <v/>
      </c>
      <c r="B452" s="25"/>
      <c r="C452" s="25"/>
      <c r="D452" s="26"/>
      <c r="E452" s="25"/>
      <c r="F452" s="27"/>
      <c r="G452" s="28"/>
      <c r="H452" s="28"/>
      <c r="I452" s="29" t="str">
        <f t="shared" si="18"/>
        <v/>
      </c>
      <c r="J452" s="30" t="str">
        <f t="shared" si="19"/>
        <v/>
      </c>
      <c r="K452" s="26"/>
      <c r="L452" s="24" t="str">
        <f>IF(N452="","",IF(N452="T","Título de capítulo",IF(OR(ISERROR(F452),ISERROR(G452),ISERROR(H452)),"Error en fórmula: pegá como valores",IF(AND(B452="",$C$6=""),"Falta sector",IF(M452="","Falta capítulo",IF(TRIM(E452)="","Falta unidad",IF(NOT((COUNTIF(Listas!$A$2:$A$40,E452)+COUNTIF(Listas!$D$2:$D$60,E452)&gt;0)),"Unidad no reconocida",IF(AND(F452&lt;&gt;"",NOT(ISNUMBER(F452))),"Cantidad no es número",IF(N(F452)&lt;=0,"Falta cantidad",IF(OR(AND(G452&lt;&gt;"",NOT(ISNUMBER(G452))),AND(H452&lt;&gt;"",NOT(ISNUMBER(H452)))),"Precio no es número",IF(N(G452)+N(H452)&lt;=0,"Falta precio","✓ OK")))))))))))</f>
        <v/>
      </c>
      <c r="M452" t="str">
        <f>IF(N452&lt;&gt;"W","",IF(TRIM(C452)&lt;&gt;"",TRIM(C452),IFERROR(LOOKUP(2,1/(N$9:N452="T"),D$9:D452),"")))</f>
        <v/>
      </c>
      <c r="N452" t="str">
        <f t="shared" si="20"/>
        <v/>
      </c>
      <c r="O452" t="str">
        <f>IF(M452="","",IF(COUNTIF(M$9:M452,M452)=1,MAX(O$8:O451)+1,""))</f>
        <v/>
      </c>
    </row>
    <row r="453" spans="1:15" x14ac:dyDescent="0.75">
      <c r="A453" s="24" t="str">
        <f>IF(N453="W",COUNTIF(N$9:N453,"W"),"")</f>
        <v/>
      </c>
      <c r="B453" s="25"/>
      <c r="C453" s="25"/>
      <c r="D453" s="26"/>
      <c r="E453" s="25"/>
      <c r="F453" s="27"/>
      <c r="G453" s="28"/>
      <c r="H453" s="28"/>
      <c r="I453" s="29" t="str">
        <f t="shared" si="18"/>
        <v/>
      </c>
      <c r="J453" s="30" t="str">
        <f t="shared" si="19"/>
        <v/>
      </c>
      <c r="K453" s="26"/>
      <c r="L453" s="24" t="str">
        <f>IF(N453="","",IF(N453="T","Título de capítulo",IF(OR(ISERROR(F453),ISERROR(G453),ISERROR(H453)),"Error en fórmula: pegá como valores",IF(AND(B453="",$C$6=""),"Falta sector",IF(M453="","Falta capítulo",IF(TRIM(E453)="","Falta unidad",IF(NOT((COUNTIF(Listas!$A$2:$A$40,E453)+COUNTIF(Listas!$D$2:$D$60,E453)&gt;0)),"Unidad no reconocida",IF(AND(F453&lt;&gt;"",NOT(ISNUMBER(F453))),"Cantidad no es número",IF(N(F453)&lt;=0,"Falta cantidad",IF(OR(AND(G453&lt;&gt;"",NOT(ISNUMBER(G453))),AND(H453&lt;&gt;"",NOT(ISNUMBER(H453)))),"Precio no es número",IF(N(G453)+N(H453)&lt;=0,"Falta precio","✓ OK")))))))))))</f>
        <v/>
      </c>
      <c r="M453" t="str">
        <f>IF(N453&lt;&gt;"W","",IF(TRIM(C453)&lt;&gt;"",TRIM(C453),IFERROR(LOOKUP(2,1/(N$9:N453="T"),D$9:D453),"")))</f>
        <v/>
      </c>
      <c r="N453" t="str">
        <f t="shared" si="20"/>
        <v/>
      </c>
      <c r="O453" t="str">
        <f>IF(M453="","",IF(COUNTIF(M$9:M453,M453)=1,MAX(O$8:O452)+1,""))</f>
        <v/>
      </c>
    </row>
    <row r="454" spans="1:15" x14ac:dyDescent="0.75">
      <c r="A454" s="24" t="str">
        <f>IF(N454="W",COUNTIF(N$9:N454,"W"),"")</f>
        <v/>
      </c>
      <c r="B454" s="25"/>
      <c r="C454" s="25"/>
      <c r="D454" s="26"/>
      <c r="E454" s="25"/>
      <c r="F454" s="27"/>
      <c r="G454" s="28"/>
      <c r="H454" s="28"/>
      <c r="I454" s="29" t="str">
        <f t="shared" si="18"/>
        <v/>
      </c>
      <c r="J454" s="30" t="str">
        <f t="shared" si="19"/>
        <v/>
      </c>
      <c r="K454" s="26"/>
      <c r="L454" s="24" t="str">
        <f>IF(N454="","",IF(N454="T","Título de capítulo",IF(OR(ISERROR(F454),ISERROR(G454),ISERROR(H454)),"Error en fórmula: pegá como valores",IF(AND(B454="",$C$6=""),"Falta sector",IF(M454="","Falta capítulo",IF(TRIM(E454)="","Falta unidad",IF(NOT((COUNTIF(Listas!$A$2:$A$40,E454)+COUNTIF(Listas!$D$2:$D$60,E454)&gt;0)),"Unidad no reconocida",IF(AND(F454&lt;&gt;"",NOT(ISNUMBER(F454))),"Cantidad no es número",IF(N(F454)&lt;=0,"Falta cantidad",IF(OR(AND(G454&lt;&gt;"",NOT(ISNUMBER(G454))),AND(H454&lt;&gt;"",NOT(ISNUMBER(H454)))),"Precio no es número",IF(N(G454)+N(H454)&lt;=0,"Falta precio","✓ OK")))))))))))</f>
        <v/>
      </c>
      <c r="M454" t="str">
        <f>IF(N454&lt;&gt;"W","",IF(TRIM(C454)&lt;&gt;"",TRIM(C454),IFERROR(LOOKUP(2,1/(N$9:N454="T"),D$9:D454),"")))</f>
        <v/>
      </c>
      <c r="N454" t="str">
        <f t="shared" si="20"/>
        <v/>
      </c>
      <c r="O454" t="str">
        <f>IF(M454="","",IF(COUNTIF(M$9:M454,M454)=1,MAX(O$8:O453)+1,""))</f>
        <v/>
      </c>
    </row>
    <row r="455" spans="1:15" x14ac:dyDescent="0.75">
      <c r="A455" s="24" t="str">
        <f>IF(N455="W",COUNTIF(N$9:N455,"W"),"")</f>
        <v/>
      </c>
      <c r="B455" s="25"/>
      <c r="C455" s="25"/>
      <c r="D455" s="26"/>
      <c r="E455" s="25"/>
      <c r="F455" s="27"/>
      <c r="G455" s="28"/>
      <c r="H455" s="28"/>
      <c r="I455" s="29" t="str">
        <f t="shared" si="18"/>
        <v/>
      </c>
      <c r="J455" s="30" t="str">
        <f t="shared" si="19"/>
        <v/>
      </c>
      <c r="K455" s="26"/>
      <c r="L455" s="24" t="str">
        <f>IF(N455="","",IF(N455="T","Título de capítulo",IF(OR(ISERROR(F455),ISERROR(G455),ISERROR(H455)),"Error en fórmula: pegá como valores",IF(AND(B455="",$C$6=""),"Falta sector",IF(M455="","Falta capítulo",IF(TRIM(E455)="","Falta unidad",IF(NOT((COUNTIF(Listas!$A$2:$A$40,E455)+COUNTIF(Listas!$D$2:$D$60,E455)&gt;0)),"Unidad no reconocida",IF(AND(F455&lt;&gt;"",NOT(ISNUMBER(F455))),"Cantidad no es número",IF(N(F455)&lt;=0,"Falta cantidad",IF(OR(AND(G455&lt;&gt;"",NOT(ISNUMBER(G455))),AND(H455&lt;&gt;"",NOT(ISNUMBER(H455)))),"Precio no es número",IF(N(G455)+N(H455)&lt;=0,"Falta precio","✓ OK")))))))))))</f>
        <v/>
      </c>
      <c r="M455" t="str">
        <f>IF(N455&lt;&gt;"W","",IF(TRIM(C455)&lt;&gt;"",TRIM(C455),IFERROR(LOOKUP(2,1/(N$9:N455="T"),D$9:D455),"")))</f>
        <v/>
      </c>
      <c r="N455" t="str">
        <f t="shared" si="20"/>
        <v/>
      </c>
      <c r="O455" t="str">
        <f>IF(M455="","",IF(COUNTIF(M$9:M455,M455)=1,MAX(O$8:O454)+1,""))</f>
        <v/>
      </c>
    </row>
    <row r="456" spans="1:15" x14ac:dyDescent="0.75">
      <c r="A456" s="24" t="str">
        <f>IF(N456="W",COUNTIF(N$9:N456,"W"),"")</f>
        <v/>
      </c>
      <c r="B456" s="25"/>
      <c r="C456" s="25"/>
      <c r="D456" s="26"/>
      <c r="E456" s="25"/>
      <c r="F456" s="27"/>
      <c r="G456" s="28"/>
      <c r="H456" s="28"/>
      <c r="I456" s="29" t="str">
        <f t="shared" si="18"/>
        <v/>
      </c>
      <c r="J456" s="30" t="str">
        <f t="shared" si="19"/>
        <v/>
      </c>
      <c r="K456" s="26"/>
      <c r="L456" s="24" t="str">
        <f>IF(N456="","",IF(N456="T","Título de capítulo",IF(OR(ISERROR(F456),ISERROR(G456),ISERROR(H456)),"Error en fórmula: pegá como valores",IF(AND(B456="",$C$6=""),"Falta sector",IF(M456="","Falta capítulo",IF(TRIM(E456)="","Falta unidad",IF(NOT((COUNTIF(Listas!$A$2:$A$40,E456)+COUNTIF(Listas!$D$2:$D$60,E456)&gt;0)),"Unidad no reconocida",IF(AND(F456&lt;&gt;"",NOT(ISNUMBER(F456))),"Cantidad no es número",IF(N(F456)&lt;=0,"Falta cantidad",IF(OR(AND(G456&lt;&gt;"",NOT(ISNUMBER(G456))),AND(H456&lt;&gt;"",NOT(ISNUMBER(H456)))),"Precio no es número",IF(N(G456)+N(H456)&lt;=0,"Falta precio","✓ OK")))))))))))</f>
        <v/>
      </c>
      <c r="M456" t="str">
        <f>IF(N456&lt;&gt;"W","",IF(TRIM(C456)&lt;&gt;"",TRIM(C456),IFERROR(LOOKUP(2,1/(N$9:N456="T"),D$9:D456),"")))</f>
        <v/>
      </c>
      <c r="N456" t="str">
        <f t="shared" si="20"/>
        <v/>
      </c>
      <c r="O456" t="str">
        <f>IF(M456="","",IF(COUNTIF(M$9:M456,M456)=1,MAX(O$8:O455)+1,""))</f>
        <v/>
      </c>
    </row>
    <row r="457" spans="1:15" x14ac:dyDescent="0.75">
      <c r="A457" s="24" t="str">
        <f>IF(N457="W",COUNTIF(N$9:N457,"W"),"")</f>
        <v/>
      </c>
      <c r="B457" s="25"/>
      <c r="C457" s="25"/>
      <c r="D457" s="26"/>
      <c r="E457" s="25"/>
      <c r="F457" s="27"/>
      <c r="G457" s="28"/>
      <c r="H457" s="28"/>
      <c r="I457" s="29" t="str">
        <f t="shared" ref="I457:I520" si="21">IF(N457="W",IFERROR(N(G457)+N(H457),0),"")</f>
        <v/>
      </c>
      <c r="J457" s="30" t="str">
        <f t="shared" ref="J457:J520" si="22">IF(N457="W",IFERROR(N(F457)*I457,0),"")</f>
        <v/>
      </c>
      <c r="K457" s="26"/>
      <c r="L457" s="24" t="str">
        <f>IF(N457="","",IF(N457="T","Título de capítulo",IF(OR(ISERROR(F457),ISERROR(G457),ISERROR(H457)),"Error en fórmula: pegá como valores",IF(AND(B457="",$C$6=""),"Falta sector",IF(M457="","Falta capítulo",IF(TRIM(E457)="","Falta unidad",IF(NOT((COUNTIF(Listas!$A$2:$A$40,E457)+COUNTIF(Listas!$D$2:$D$60,E457)&gt;0)),"Unidad no reconocida",IF(AND(F457&lt;&gt;"",NOT(ISNUMBER(F457))),"Cantidad no es número",IF(N(F457)&lt;=0,"Falta cantidad",IF(OR(AND(G457&lt;&gt;"",NOT(ISNUMBER(G457))),AND(H457&lt;&gt;"",NOT(ISNUMBER(H457)))),"Precio no es número",IF(N(G457)+N(H457)&lt;=0,"Falta precio","✓ OK")))))))))))</f>
        <v/>
      </c>
      <c r="M457" t="str">
        <f>IF(N457&lt;&gt;"W","",IF(TRIM(C457)&lt;&gt;"",TRIM(C457),IFERROR(LOOKUP(2,1/(N$9:N457="T"),D$9:D457),"")))</f>
        <v/>
      </c>
      <c r="N457" t="str">
        <f t="shared" ref="N457:N520" si="23">IF(TRIM(D457)="","",IF(AND(TRIM(E457)="",IFERROR(N(F457),1)=0,IFERROR(N(G457)+N(H457),1)=0),"T","W"))</f>
        <v/>
      </c>
      <c r="O457" t="str">
        <f>IF(M457="","",IF(COUNTIF(M$9:M457,M457)=1,MAX(O$8:O456)+1,""))</f>
        <v/>
      </c>
    </row>
    <row r="458" spans="1:15" x14ac:dyDescent="0.75">
      <c r="A458" s="24" t="str">
        <f>IF(N458="W",COUNTIF(N$9:N458,"W"),"")</f>
        <v/>
      </c>
      <c r="B458" s="25"/>
      <c r="C458" s="25"/>
      <c r="D458" s="26"/>
      <c r="E458" s="25"/>
      <c r="F458" s="27"/>
      <c r="G458" s="28"/>
      <c r="H458" s="28"/>
      <c r="I458" s="29" t="str">
        <f t="shared" si="21"/>
        <v/>
      </c>
      <c r="J458" s="30" t="str">
        <f t="shared" si="22"/>
        <v/>
      </c>
      <c r="K458" s="26"/>
      <c r="L458" s="24" t="str">
        <f>IF(N458="","",IF(N458="T","Título de capítulo",IF(OR(ISERROR(F458),ISERROR(G458),ISERROR(H458)),"Error en fórmula: pegá como valores",IF(AND(B458="",$C$6=""),"Falta sector",IF(M458="","Falta capítulo",IF(TRIM(E458)="","Falta unidad",IF(NOT((COUNTIF(Listas!$A$2:$A$40,E458)+COUNTIF(Listas!$D$2:$D$60,E458)&gt;0)),"Unidad no reconocida",IF(AND(F458&lt;&gt;"",NOT(ISNUMBER(F458))),"Cantidad no es número",IF(N(F458)&lt;=0,"Falta cantidad",IF(OR(AND(G458&lt;&gt;"",NOT(ISNUMBER(G458))),AND(H458&lt;&gt;"",NOT(ISNUMBER(H458)))),"Precio no es número",IF(N(G458)+N(H458)&lt;=0,"Falta precio","✓ OK")))))))))))</f>
        <v/>
      </c>
      <c r="M458" t="str">
        <f>IF(N458&lt;&gt;"W","",IF(TRIM(C458)&lt;&gt;"",TRIM(C458),IFERROR(LOOKUP(2,1/(N$9:N458="T"),D$9:D458),"")))</f>
        <v/>
      </c>
      <c r="N458" t="str">
        <f t="shared" si="23"/>
        <v/>
      </c>
      <c r="O458" t="str">
        <f>IF(M458="","",IF(COUNTIF(M$9:M458,M458)=1,MAX(O$8:O457)+1,""))</f>
        <v/>
      </c>
    </row>
    <row r="459" spans="1:15" x14ac:dyDescent="0.75">
      <c r="A459" s="24" t="str">
        <f>IF(N459="W",COUNTIF(N$9:N459,"W"),"")</f>
        <v/>
      </c>
      <c r="B459" s="25"/>
      <c r="C459" s="25"/>
      <c r="D459" s="26"/>
      <c r="E459" s="25"/>
      <c r="F459" s="27"/>
      <c r="G459" s="28"/>
      <c r="H459" s="28"/>
      <c r="I459" s="29" t="str">
        <f t="shared" si="21"/>
        <v/>
      </c>
      <c r="J459" s="30" t="str">
        <f t="shared" si="22"/>
        <v/>
      </c>
      <c r="K459" s="26"/>
      <c r="L459" s="24" t="str">
        <f>IF(N459="","",IF(N459="T","Título de capítulo",IF(OR(ISERROR(F459),ISERROR(G459),ISERROR(H459)),"Error en fórmula: pegá como valores",IF(AND(B459="",$C$6=""),"Falta sector",IF(M459="","Falta capítulo",IF(TRIM(E459)="","Falta unidad",IF(NOT((COUNTIF(Listas!$A$2:$A$40,E459)+COUNTIF(Listas!$D$2:$D$60,E459)&gt;0)),"Unidad no reconocida",IF(AND(F459&lt;&gt;"",NOT(ISNUMBER(F459))),"Cantidad no es número",IF(N(F459)&lt;=0,"Falta cantidad",IF(OR(AND(G459&lt;&gt;"",NOT(ISNUMBER(G459))),AND(H459&lt;&gt;"",NOT(ISNUMBER(H459)))),"Precio no es número",IF(N(G459)+N(H459)&lt;=0,"Falta precio","✓ OK")))))))))))</f>
        <v/>
      </c>
      <c r="M459" t="str">
        <f>IF(N459&lt;&gt;"W","",IF(TRIM(C459)&lt;&gt;"",TRIM(C459),IFERROR(LOOKUP(2,1/(N$9:N459="T"),D$9:D459),"")))</f>
        <v/>
      </c>
      <c r="N459" t="str">
        <f t="shared" si="23"/>
        <v/>
      </c>
      <c r="O459" t="str">
        <f>IF(M459="","",IF(COUNTIF(M$9:M459,M459)=1,MAX(O$8:O458)+1,""))</f>
        <v/>
      </c>
    </row>
    <row r="460" spans="1:15" x14ac:dyDescent="0.75">
      <c r="A460" s="24" t="str">
        <f>IF(N460="W",COUNTIF(N$9:N460,"W"),"")</f>
        <v/>
      </c>
      <c r="B460" s="25"/>
      <c r="C460" s="25"/>
      <c r="D460" s="26"/>
      <c r="E460" s="25"/>
      <c r="F460" s="27"/>
      <c r="G460" s="28"/>
      <c r="H460" s="28"/>
      <c r="I460" s="29" t="str">
        <f t="shared" si="21"/>
        <v/>
      </c>
      <c r="J460" s="30" t="str">
        <f t="shared" si="22"/>
        <v/>
      </c>
      <c r="K460" s="26"/>
      <c r="L460" s="24" t="str">
        <f>IF(N460="","",IF(N460="T","Título de capítulo",IF(OR(ISERROR(F460),ISERROR(G460),ISERROR(H460)),"Error en fórmula: pegá como valores",IF(AND(B460="",$C$6=""),"Falta sector",IF(M460="","Falta capítulo",IF(TRIM(E460)="","Falta unidad",IF(NOT((COUNTIF(Listas!$A$2:$A$40,E460)+COUNTIF(Listas!$D$2:$D$60,E460)&gt;0)),"Unidad no reconocida",IF(AND(F460&lt;&gt;"",NOT(ISNUMBER(F460))),"Cantidad no es número",IF(N(F460)&lt;=0,"Falta cantidad",IF(OR(AND(G460&lt;&gt;"",NOT(ISNUMBER(G460))),AND(H460&lt;&gt;"",NOT(ISNUMBER(H460)))),"Precio no es número",IF(N(G460)+N(H460)&lt;=0,"Falta precio","✓ OK")))))))))))</f>
        <v/>
      </c>
      <c r="M460" t="str">
        <f>IF(N460&lt;&gt;"W","",IF(TRIM(C460)&lt;&gt;"",TRIM(C460),IFERROR(LOOKUP(2,1/(N$9:N460="T"),D$9:D460),"")))</f>
        <v/>
      </c>
      <c r="N460" t="str">
        <f t="shared" si="23"/>
        <v/>
      </c>
      <c r="O460" t="str">
        <f>IF(M460="","",IF(COUNTIF(M$9:M460,M460)=1,MAX(O$8:O459)+1,""))</f>
        <v/>
      </c>
    </row>
    <row r="461" spans="1:15" x14ac:dyDescent="0.75">
      <c r="A461" s="24" t="str">
        <f>IF(N461="W",COUNTIF(N$9:N461,"W"),"")</f>
        <v/>
      </c>
      <c r="B461" s="25"/>
      <c r="C461" s="25"/>
      <c r="D461" s="26"/>
      <c r="E461" s="25"/>
      <c r="F461" s="27"/>
      <c r="G461" s="28"/>
      <c r="H461" s="28"/>
      <c r="I461" s="29" t="str">
        <f t="shared" si="21"/>
        <v/>
      </c>
      <c r="J461" s="30" t="str">
        <f t="shared" si="22"/>
        <v/>
      </c>
      <c r="K461" s="26"/>
      <c r="L461" s="24" t="str">
        <f>IF(N461="","",IF(N461="T","Título de capítulo",IF(OR(ISERROR(F461),ISERROR(G461),ISERROR(H461)),"Error en fórmula: pegá como valores",IF(AND(B461="",$C$6=""),"Falta sector",IF(M461="","Falta capítulo",IF(TRIM(E461)="","Falta unidad",IF(NOT((COUNTIF(Listas!$A$2:$A$40,E461)+COUNTIF(Listas!$D$2:$D$60,E461)&gt;0)),"Unidad no reconocida",IF(AND(F461&lt;&gt;"",NOT(ISNUMBER(F461))),"Cantidad no es número",IF(N(F461)&lt;=0,"Falta cantidad",IF(OR(AND(G461&lt;&gt;"",NOT(ISNUMBER(G461))),AND(H461&lt;&gt;"",NOT(ISNUMBER(H461)))),"Precio no es número",IF(N(G461)+N(H461)&lt;=0,"Falta precio","✓ OK")))))))))))</f>
        <v/>
      </c>
      <c r="M461" t="str">
        <f>IF(N461&lt;&gt;"W","",IF(TRIM(C461)&lt;&gt;"",TRIM(C461),IFERROR(LOOKUP(2,1/(N$9:N461="T"),D$9:D461),"")))</f>
        <v/>
      </c>
      <c r="N461" t="str">
        <f t="shared" si="23"/>
        <v/>
      </c>
      <c r="O461" t="str">
        <f>IF(M461="","",IF(COUNTIF(M$9:M461,M461)=1,MAX(O$8:O460)+1,""))</f>
        <v/>
      </c>
    </row>
    <row r="462" spans="1:15" x14ac:dyDescent="0.75">
      <c r="A462" s="24" t="str">
        <f>IF(N462="W",COUNTIF(N$9:N462,"W"),"")</f>
        <v/>
      </c>
      <c r="B462" s="25"/>
      <c r="C462" s="25"/>
      <c r="D462" s="26"/>
      <c r="E462" s="25"/>
      <c r="F462" s="27"/>
      <c r="G462" s="28"/>
      <c r="H462" s="28"/>
      <c r="I462" s="29" t="str">
        <f t="shared" si="21"/>
        <v/>
      </c>
      <c r="J462" s="30" t="str">
        <f t="shared" si="22"/>
        <v/>
      </c>
      <c r="K462" s="26"/>
      <c r="L462" s="24" t="str">
        <f>IF(N462="","",IF(N462="T","Título de capítulo",IF(OR(ISERROR(F462),ISERROR(G462),ISERROR(H462)),"Error en fórmula: pegá como valores",IF(AND(B462="",$C$6=""),"Falta sector",IF(M462="","Falta capítulo",IF(TRIM(E462)="","Falta unidad",IF(NOT((COUNTIF(Listas!$A$2:$A$40,E462)+COUNTIF(Listas!$D$2:$D$60,E462)&gt;0)),"Unidad no reconocida",IF(AND(F462&lt;&gt;"",NOT(ISNUMBER(F462))),"Cantidad no es número",IF(N(F462)&lt;=0,"Falta cantidad",IF(OR(AND(G462&lt;&gt;"",NOT(ISNUMBER(G462))),AND(H462&lt;&gt;"",NOT(ISNUMBER(H462)))),"Precio no es número",IF(N(G462)+N(H462)&lt;=0,"Falta precio","✓ OK")))))))))))</f>
        <v/>
      </c>
      <c r="M462" t="str">
        <f>IF(N462&lt;&gt;"W","",IF(TRIM(C462)&lt;&gt;"",TRIM(C462),IFERROR(LOOKUP(2,1/(N$9:N462="T"),D$9:D462),"")))</f>
        <v/>
      </c>
      <c r="N462" t="str">
        <f t="shared" si="23"/>
        <v/>
      </c>
      <c r="O462" t="str">
        <f>IF(M462="","",IF(COUNTIF(M$9:M462,M462)=1,MAX(O$8:O461)+1,""))</f>
        <v/>
      </c>
    </row>
    <row r="463" spans="1:15" x14ac:dyDescent="0.75">
      <c r="A463" s="24" t="str">
        <f>IF(N463="W",COUNTIF(N$9:N463,"W"),"")</f>
        <v/>
      </c>
      <c r="B463" s="25"/>
      <c r="C463" s="25"/>
      <c r="D463" s="26"/>
      <c r="E463" s="25"/>
      <c r="F463" s="27"/>
      <c r="G463" s="28"/>
      <c r="H463" s="28"/>
      <c r="I463" s="29" t="str">
        <f t="shared" si="21"/>
        <v/>
      </c>
      <c r="J463" s="30" t="str">
        <f t="shared" si="22"/>
        <v/>
      </c>
      <c r="K463" s="26"/>
      <c r="L463" s="24" t="str">
        <f>IF(N463="","",IF(N463="T","Título de capítulo",IF(OR(ISERROR(F463),ISERROR(G463),ISERROR(H463)),"Error en fórmula: pegá como valores",IF(AND(B463="",$C$6=""),"Falta sector",IF(M463="","Falta capítulo",IF(TRIM(E463)="","Falta unidad",IF(NOT((COUNTIF(Listas!$A$2:$A$40,E463)+COUNTIF(Listas!$D$2:$D$60,E463)&gt;0)),"Unidad no reconocida",IF(AND(F463&lt;&gt;"",NOT(ISNUMBER(F463))),"Cantidad no es número",IF(N(F463)&lt;=0,"Falta cantidad",IF(OR(AND(G463&lt;&gt;"",NOT(ISNUMBER(G463))),AND(H463&lt;&gt;"",NOT(ISNUMBER(H463)))),"Precio no es número",IF(N(G463)+N(H463)&lt;=0,"Falta precio","✓ OK")))))))))))</f>
        <v/>
      </c>
      <c r="M463" t="str">
        <f>IF(N463&lt;&gt;"W","",IF(TRIM(C463)&lt;&gt;"",TRIM(C463),IFERROR(LOOKUP(2,1/(N$9:N463="T"),D$9:D463),"")))</f>
        <v/>
      </c>
      <c r="N463" t="str">
        <f t="shared" si="23"/>
        <v/>
      </c>
      <c r="O463" t="str">
        <f>IF(M463="","",IF(COUNTIF(M$9:M463,M463)=1,MAX(O$8:O462)+1,""))</f>
        <v/>
      </c>
    </row>
    <row r="464" spans="1:15" x14ac:dyDescent="0.75">
      <c r="A464" s="24" t="str">
        <f>IF(N464="W",COUNTIF(N$9:N464,"W"),"")</f>
        <v/>
      </c>
      <c r="B464" s="25"/>
      <c r="C464" s="25"/>
      <c r="D464" s="26"/>
      <c r="E464" s="25"/>
      <c r="F464" s="27"/>
      <c r="G464" s="28"/>
      <c r="H464" s="28"/>
      <c r="I464" s="29" t="str">
        <f t="shared" si="21"/>
        <v/>
      </c>
      <c r="J464" s="30" t="str">
        <f t="shared" si="22"/>
        <v/>
      </c>
      <c r="K464" s="26"/>
      <c r="L464" s="24" t="str">
        <f>IF(N464="","",IF(N464="T","Título de capítulo",IF(OR(ISERROR(F464),ISERROR(G464),ISERROR(H464)),"Error en fórmula: pegá como valores",IF(AND(B464="",$C$6=""),"Falta sector",IF(M464="","Falta capítulo",IF(TRIM(E464)="","Falta unidad",IF(NOT((COUNTIF(Listas!$A$2:$A$40,E464)+COUNTIF(Listas!$D$2:$D$60,E464)&gt;0)),"Unidad no reconocida",IF(AND(F464&lt;&gt;"",NOT(ISNUMBER(F464))),"Cantidad no es número",IF(N(F464)&lt;=0,"Falta cantidad",IF(OR(AND(G464&lt;&gt;"",NOT(ISNUMBER(G464))),AND(H464&lt;&gt;"",NOT(ISNUMBER(H464)))),"Precio no es número",IF(N(G464)+N(H464)&lt;=0,"Falta precio","✓ OK")))))))))))</f>
        <v/>
      </c>
      <c r="M464" t="str">
        <f>IF(N464&lt;&gt;"W","",IF(TRIM(C464)&lt;&gt;"",TRIM(C464),IFERROR(LOOKUP(2,1/(N$9:N464="T"),D$9:D464),"")))</f>
        <v/>
      </c>
      <c r="N464" t="str">
        <f t="shared" si="23"/>
        <v/>
      </c>
      <c r="O464" t="str">
        <f>IF(M464="","",IF(COUNTIF(M$9:M464,M464)=1,MAX(O$8:O463)+1,""))</f>
        <v/>
      </c>
    </row>
    <row r="465" spans="1:15" x14ac:dyDescent="0.75">
      <c r="A465" s="24" t="str">
        <f>IF(N465="W",COUNTIF(N$9:N465,"W"),"")</f>
        <v/>
      </c>
      <c r="B465" s="25"/>
      <c r="C465" s="25"/>
      <c r="D465" s="26"/>
      <c r="E465" s="25"/>
      <c r="F465" s="27"/>
      <c r="G465" s="28"/>
      <c r="H465" s="28"/>
      <c r="I465" s="29" t="str">
        <f t="shared" si="21"/>
        <v/>
      </c>
      <c r="J465" s="30" t="str">
        <f t="shared" si="22"/>
        <v/>
      </c>
      <c r="K465" s="26"/>
      <c r="L465" s="24" t="str">
        <f>IF(N465="","",IF(N465="T","Título de capítulo",IF(OR(ISERROR(F465),ISERROR(G465),ISERROR(H465)),"Error en fórmula: pegá como valores",IF(AND(B465="",$C$6=""),"Falta sector",IF(M465="","Falta capítulo",IF(TRIM(E465)="","Falta unidad",IF(NOT((COUNTIF(Listas!$A$2:$A$40,E465)+COUNTIF(Listas!$D$2:$D$60,E465)&gt;0)),"Unidad no reconocida",IF(AND(F465&lt;&gt;"",NOT(ISNUMBER(F465))),"Cantidad no es número",IF(N(F465)&lt;=0,"Falta cantidad",IF(OR(AND(G465&lt;&gt;"",NOT(ISNUMBER(G465))),AND(H465&lt;&gt;"",NOT(ISNUMBER(H465)))),"Precio no es número",IF(N(G465)+N(H465)&lt;=0,"Falta precio","✓ OK")))))))))))</f>
        <v/>
      </c>
      <c r="M465" t="str">
        <f>IF(N465&lt;&gt;"W","",IF(TRIM(C465)&lt;&gt;"",TRIM(C465),IFERROR(LOOKUP(2,1/(N$9:N465="T"),D$9:D465),"")))</f>
        <v/>
      </c>
      <c r="N465" t="str">
        <f t="shared" si="23"/>
        <v/>
      </c>
      <c r="O465" t="str">
        <f>IF(M465="","",IF(COUNTIF(M$9:M465,M465)=1,MAX(O$8:O464)+1,""))</f>
        <v/>
      </c>
    </row>
    <row r="466" spans="1:15" x14ac:dyDescent="0.75">
      <c r="A466" s="24" t="str">
        <f>IF(N466="W",COUNTIF(N$9:N466,"W"),"")</f>
        <v/>
      </c>
      <c r="B466" s="25"/>
      <c r="C466" s="25"/>
      <c r="D466" s="26"/>
      <c r="E466" s="25"/>
      <c r="F466" s="27"/>
      <c r="G466" s="28"/>
      <c r="H466" s="28"/>
      <c r="I466" s="29" t="str">
        <f t="shared" si="21"/>
        <v/>
      </c>
      <c r="J466" s="30" t="str">
        <f t="shared" si="22"/>
        <v/>
      </c>
      <c r="K466" s="26"/>
      <c r="L466" s="24" t="str">
        <f>IF(N466="","",IF(N466="T","Título de capítulo",IF(OR(ISERROR(F466),ISERROR(G466),ISERROR(H466)),"Error en fórmula: pegá como valores",IF(AND(B466="",$C$6=""),"Falta sector",IF(M466="","Falta capítulo",IF(TRIM(E466)="","Falta unidad",IF(NOT((COUNTIF(Listas!$A$2:$A$40,E466)+COUNTIF(Listas!$D$2:$D$60,E466)&gt;0)),"Unidad no reconocida",IF(AND(F466&lt;&gt;"",NOT(ISNUMBER(F466))),"Cantidad no es número",IF(N(F466)&lt;=0,"Falta cantidad",IF(OR(AND(G466&lt;&gt;"",NOT(ISNUMBER(G466))),AND(H466&lt;&gt;"",NOT(ISNUMBER(H466)))),"Precio no es número",IF(N(G466)+N(H466)&lt;=0,"Falta precio","✓ OK")))))))))))</f>
        <v/>
      </c>
      <c r="M466" t="str">
        <f>IF(N466&lt;&gt;"W","",IF(TRIM(C466)&lt;&gt;"",TRIM(C466),IFERROR(LOOKUP(2,1/(N$9:N466="T"),D$9:D466),"")))</f>
        <v/>
      </c>
      <c r="N466" t="str">
        <f t="shared" si="23"/>
        <v/>
      </c>
      <c r="O466" t="str">
        <f>IF(M466="","",IF(COUNTIF(M$9:M466,M466)=1,MAX(O$8:O465)+1,""))</f>
        <v/>
      </c>
    </row>
    <row r="467" spans="1:15" x14ac:dyDescent="0.75">
      <c r="A467" s="24" t="str">
        <f>IF(N467="W",COUNTIF(N$9:N467,"W"),"")</f>
        <v/>
      </c>
      <c r="B467" s="25"/>
      <c r="C467" s="25"/>
      <c r="D467" s="26"/>
      <c r="E467" s="25"/>
      <c r="F467" s="27"/>
      <c r="G467" s="28"/>
      <c r="H467" s="28"/>
      <c r="I467" s="29" t="str">
        <f t="shared" si="21"/>
        <v/>
      </c>
      <c r="J467" s="30" t="str">
        <f t="shared" si="22"/>
        <v/>
      </c>
      <c r="K467" s="26"/>
      <c r="L467" s="24" t="str">
        <f>IF(N467="","",IF(N467="T","Título de capítulo",IF(OR(ISERROR(F467),ISERROR(G467),ISERROR(H467)),"Error en fórmula: pegá como valores",IF(AND(B467="",$C$6=""),"Falta sector",IF(M467="","Falta capítulo",IF(TRIM(E467)="","Falta unidad",IF(NOT((COUNTIF(Listas!$A$2:$A$40,E467)+COUNTIF(Listas!$D$2:$D$60,E467)&gt;0)),"Unidad no reconocida",IF(AND(F467&lt;&gt;"",NOT(ISNUMBER(F467))),"Cantidad no es número",IF(N(F467)&lt;=0,"Falta cantidad",IF(OR(AND(G467&lt;&gt;"",NOT(ISNUMBER(G467))),AND(H467&lt;&gt;"",NOT(ISNUMBER(H467)))),"Precio no es número",IF(N(G467)+N(H467)&lt;=0,"Falta precio","✓ OK")))))))))))</f>
        <v/>
      </c>
      <c r="M467" t="str">
        <f>IF(N467&lt;&gt;"W","",IF(TRIM(C467)&lt;&gt;"",TRIM(C467),IFERROR(LOOKUP(2,1/(N$9:N467="T"),D$9:D467),"")))</f>
        <v/>
      </c>
      <c r="N467" t="str">
        <f t="shared" si="23"/>
        <v/>
      </c>
      <c r="O467" t="str">
        <f>IF(M467="","",IF(COUNTIF(M$9:M467,M467)=1,MAX(O$8:O466)+1,""))</f>
        <v/>
      </c>
    </row>
    <row r="468" spans="1:15" x14ac:dyDescent="0.75">
      <c r="A468" s="24" t="str">
        <f>IF(N468="W",COUNTIF(N$9:N468,"W"),"")</f>
        <v/>
      </c>
      <c r="B468" s="25"/>
      <c r="C468" s="25"/>
      <c r="D468" s="26"/>
      <c r="E468" s="25"/>
      <c r="F468" s="27"/>
      <c r="G468" s="28"/>
      <c r="H468" s="28"/>
      <c r="I468" s="29" t="str">
        <f t="shared" si="21"/>
        <v/>
      </c>
      <c r="J468" s="30" t="str">
        <f t="shared" si="22"/>
        <v/>
      </c>
      <c r="K468" s="26"/>
      <c r="L468" s="24" t="str">
        <f>IF(N468="","",IF(N468="T","Título de capítulo",IF(OR(ISERROR(F468),ISERROR(G468),ISERROR(H468)),"Error en fórmula: pegá como valores",IF(AND(B468="",$C$6=""),"Falta sector",IF(M468="","Falta capítulo",IF(TRIM(E468)="","Falta unidad",IF(NOT((COUNTIF(Listas!$A$2:$A$40,E468)+COUNTIF(Listas!$D$2:$D$60,E468)&gt;0)),"Unidad no reconocida",IF(AND(F468&lt;&gt;"",NOT(ISNUMBER(F468))),"Cantidad no es número",IF(N(F468)&lt;=0,"Falta cantidad",IF(OR(AND(G468&lt;&gt;"",NOT(ISNUMBER(G468))),AND(H468&lt;&gt;"",NOT(ISNUMBER(H468)))),"Precio no es número",IF(N(G468)+N(H468)&lt;=0,"Falta precio","✓ OK")))))))))))</f>
        <v/>
      </c>
      <c r="M468" t="str">
        <f>IF(N468&lt;&gt;"W","",IF(TRIM(C468)&lt;&gt;"",TRIM(C468),IFERROR(LOOKUP(2,1/(N$9:N468="T"),D$9:D468),"")))</f>
        <v/>
      </c>
      <c r="N468" t="str">
        <f t="shared" si="23"/>
        <v/>
      </c>
      <c r="O468" t="str">
        <f>IF(M468="","",IF(COUNTIF(M$9:M468,M468)=1,MAX(O$8:O467)+1,""))</f>
        <v/>
      </c>
    </row>
    <row r="469" spans="1:15" x14ac:dyDescent="0.75">
      <c r="A469" s="24" t="str">
        <f>IF(N469="W",COUNTIF(N$9:N469,"W"),"")</f>
        <v/>
      </c>
      <c r="B469" s="25"/>
      <c r="C469" s="25"/>
      <c r="D469" s="26"/>
      <c r="E469" s="25"/>
      <c r="F469" s="27"/>
      <c r="G469" s="28"/>
      <c r="H469" s="28"/>
      <c r="I469" s="29" t="str">
        <f t="shared" si="21"/>
        <v/>
      </c>
      <c r="J469" s="30" t="str">
        <f t="shared" si="22"/>
        <v/>
      </c>
      <c r="K469" s="26"/>
      <c r="L469" s="24" t="str">
        <f>IF(N469="","",IF(N469="T","Título de capítulo",IF(OR(ISERROR(F469),ISERROR(G469),ISERROR(H469)),"Error en fórmula: pegá como valores",IF(AND(B469="",$C$6=""),"Falta sector",IF(M469="","Falta capítulo",IF(TRIM(E469)="","Falta unidad",IF(NOT((COUNTIF(Listas!$A$2:$A$40,E469)+COUNTIF(Listas!$D$2:$D$60,E469)&gt;0)),"Unidad no reconocida",IF(AND(F469&lt;&gt;"",NOT(ISNUMBER(F469))),"Cantidad no es número",IF(N(F469)&lt;=0,"Falta cantidad",IF(OR(AND(G469&lt;&gt;"",NOT(ISNUMBER(G469))),AND(H469&lt;&gt;"",NOT(ISNUMBER(H469)))),"Precio no es número",IF(N(G469)+N(H469)&lt;=0,"Falta precio","✓ OK")))))))))))</f>
        <v/>
      </c>
      <c r="M469" t="str">
        <f>IF(N469&lt;&gt;"W","",IF(TRIM(C469)&lt;&gt;"",TRIM(C469),IFERROR(LOOKUP(2,1/(N$9:N469="T"),D$9:D469),"")))</f>
        <v/>
      </c>
      <c r="N469" t="str">
        <f t="shared" si="23"/>
        <v/>
      </c>
      <c r="O469" t="str">
        <f>IF(M469="","",IF(COUNTIF(M$9:M469,M469)=1,MAX(O$8:O468)+1,""))</f>
        <v/>
      </c>
    </row>
    <row r="470" spans="1:15" x14ac:dyDescent="0.75">
      <c r="A470" s="24" t="str">
        <f>IF(N470="W",COUNTIF(N$9:N470,"W"),"")</f>
        <v/>
      </c>
      <c r="B470" s="25"/>
      <c r="C470" s="25"/>
      <c r="D470" s="26"/>
      <c r="E470" s="25"/>
      <c r="F470" s="27"/>
      <c r="G470" s="28"/>
      <c r="H470" s="28"/>
      <c r="I470" s="29" t="str">
        <f t="shared" si="21"/>
        <v/>
      </c>
      <c r="J470" s="30" t="str">
        <f t="shared" si="22"/>
        <v/>
      </c>
      <c r="K470" s="26"/>
      <c r="L470" s="24" t="str">
        <f>IF(N470="","",IF(N470="T","Título de capítulo",IF(OR(ISERROR(F470),ISERROR(G470),ISERROR(H470)),"Error en fórmula: pegá como valores",IF(AND(B470="",$C$6=""),"Falta sector",IF(M470="","Falta capítulo",IF(TRIM(E470)="","Falta unidad",IF(NOT((COUNTIF(Listas!$A$2:$A$40,E470)+COUNTIF(Listas!$D$2:$D$60,E470)&gt;0)),"Unidad no reconocida",IF(AND(F470&lt;&gt;"",NOT(ISNUMBER(F470))),"Cantidad no es número",IF(N(F470)&lt;=0,"Falta cantidad",IF(OR(AND(G470&lt;&gt;"",NOT(ISNUMBER(G470))),AND(H470&lt;&gt;"",NOT(ISNUMBER(H470)))),"Precio no es número",IF(N(G470)+N(H470)&lt;=0,"Falta precio","✓ OK")))))))))))</f>
        <v/>
      </c>
      <c r="M470" t="str">
        <f>IF(N470&lt;&gt;"W","",IF(TRIM(C470)&lt;&gt;"",TRIM(C470),IFERROR(LOOKUP(2,1/(N$9:N470="T"),D$9:D470),"")))</f>
        <v/>
      </c>
      <c r="N470" t="str">
        <f t="shared" si="23"/>
        <v/>
      </c>
      <c r="O470" t="str">
        <f>IF(M470="","",IF(COUNTIF(M$9:M470,M470)=1,MAX(O$8:O469)+1,""))</f>
        <v/>
      </c>
    </row>
    <row r="471" spans="1:15" x14ac:dyDescent="0.75">
      <c r="A471" s="24" t="str">
        <f>IF(N471="W",COUNTIF(N$9:N471,"W"),"")</f>
        <v/>
      </c>
      <c r="B471" s="25"/>
      <c r="C471" s="25"/>
      <c r="D471" s="26"/>
      <c r="E471" s="25"/>
      <c r="F471" s="27"/>
      <c r="G471" s="28"/>
      <c r="H471" s="28"/>
      <c r="I471" s="29" t="str">
        <f t="shared" si="21"/>
        <v/>
      </c>
      <c r="J471" s="30" t="str">
        <f t="shared" si="22"/>
        <v/>
      </c>
      <c r="K471" s="26"/>
      <c r="L471" s="24" t="str">
        <f>IF(N471="","",IF(N471="T","Título de capítulo",IF(OR(ISERROR(F471),ISERROR(G471),ISERROR(H471)),"Error en fórmula: pegá como valores",IF(AND(B471="",$C$6=""),"Falta sector",IF(M471="","Falta capítulo",IF(TRIM(E471)="","Falta unidad",IF(NOT((COUNTIF(Listas!$A$2:$A$40,E471)+COUNTIF(Listas!$D$2:$D$60,E471)&gt;0)),"Unidad no reconocida",IF(AND(F471&lt;&gt;"",NOT(ISNUMBER(F471))),"Cantidad no es número",IF(N(F471)&lt;=0,"Falta cantidad",IF(OR(AND(G471&lt;&gt;"",NOT(ISNUMBER(G471))),AND(H471&lt;&gt;"",NOT(ISNUMBER(H471)))),"Precio no es número",IF(N(G471)+N(H471)&lt;=0,"Falta precio","✓ OK")))))))))))</f>
        <v/>
      </c>
      <c r="M471" t="str">
        <f>IF(N471&lt;&gt;"W","",IF(TRIM(C471)&lt;&gt;"",TRIM(C471),IFERROR(LOOKUP(2,1/(N$9:N471="T"),D$9:D471),"")))</f>
        <v/>
      </c>
      <c r="N471" t="str">
        <f t="shared" si="23"/>
        <v/>
      </c>
      <c r="O471" t="str">
        <f>IF(M471="","",IF(COUNTIF(M$9:M471,M471)=1,MAX(O$8:O470)+1,""))</f>
        <v/>
      </c>
    </row>
    <row r="472" spans="1:15" x14ac:dyDescent="0.75">
      <c r="A472" s="24" t="str">
        <f>IF(N472="W",COUNTIF(N$9:N472,"W"),"")</f>
        <v/>
      </c>
      <c r="B472" s="25"/>
      <c r="C472" s="25"/>
      <c r="D472" s="26"/>
      <c r="E472" s="25"/>
      <c r="F472" s="27"/>
      <c r="G472" s="28"/>
      <c r="H472" s="28"/>
      <c r="I472" s="29" t="str">
        <f t="shared" si="21"/>
        <v/>
      </c>
      <c r="J472" s="30" t="str">
        <f t="shared" si="22"/>
        <v/>
      </c>
      <c r="K472" s="26"/>
      <c r="L472" s="24" t="str">
        <f>IF(N472="","",IF(N472="T","Título de capítulo",IF(OR(ISERROR(F472),ISERROR(G472),ISERROR(H472)),"Error en fórmula: pegá como valores",IF(AND(B472="",$C$6=""),"Falta sector",IF(M472="","Falta capítulo",IF(TRIM(E472)="","Falta unidad",IF(NOT((COUNTIF(Listas!$A$2:$A$40,E472)+COUNTIF(Listas!$D$2:$D$60,E472)&gt;0)),"Unidad no reconocida",IF(AND(F472&lt;&gt;"",NOT(ISNUMBER(F472))),"Cantidad no es número",IF(N(F472)&lt;=0,"Falta cantidad",IF(OR(AND(G472&lt;&gt;"",NOT(ISNUMBER(G472))),AND(H472&lt;&gt;"",NOT(ISNUMBER(H472)))),"Precio no es número",IF(N(G472)+N(H472)&lt;=0,"Falta precio","✓ OK")))))))))))</f>
        <v/>
      </c>
      <c r="M472" t="str">
        <f>IF(N472&lt;&gt;"W","",IF(TRIM(C472)&lt;&gt;"",TRIM(C472),IFERROR(LOOKUP(2,1/(N$9:N472="T"),D$9:D472),"")))</f>
        <v/>
      </c>
      <c r="N472" t="str">
        <f t="shared" si="23"/>
        <v/>
      </c>
      <c r="O472" t="str">
        <f>IF(M472="","",IF(COUNTIF(M$9:M472,M472)=1,MAX(O$8:O471)+1,""))</f>
        <v/>
      </c>
    </row>
    <row r="473" spans="1:15" x14ac:dyDescent="0.75">
      <c r="A473" s="24" t="str">
        <f>IF(N473="W",COUNTIF(N$9:N473,"W"),"")</f>
        <v/>
      </c>
      <c r="B473" s="25"/>
      <c r="C473" s="25"/>
      <c r="D473" s="26"/>
      <c r="E473" s="25"/>
      <c r="F473" s="27"/>
      <c r="G473" s="28"/>
      <c r="H473" s="28"/>
      <c r="I473" s="29" t="str">
        <f t="shared" si="21"/>
        <v/>
      </c>
      <c r="J473" s="30" t="str">
        <f t="shared" si="22"/>
        <v/>
      </c>
      <c r="K473" s="26"/>
      <c r="L473" s="24" t="str">
        <f>IF(N473="","",IF(N473="T","Título de capítulo",IF(OR(ISERROR(F473),ISERROR(G473),ISERROR(H473)),"Error en fórmula: pegá como valores",IF(AND(B473="",$C$6=""),"Falta sector",IF(M473="","Falta capítulo",IF(TRIM(E473)="","Falta unidad",IF(NOT((COUNTIF(Listas!$A$2:$A$40,E473)+COUNTIF(Listas!$D$2:$D$60,E473)&gt;0)),"Unidad no reconocida",IF(AND(F473&lt;&gt;"",NOT(ISNUMBER(F473))),"Cantidad no es número",IF(N(F473)&lt;=0,"Falta cantidad",IF(OR(AND(G473&lt;&gt;"",NOT(ISNUMBER(G473))),AND(H473&lt;&gt;"",NOT(ISNUMBER(H473)))),"Precio no es número",IF(N(G473)+N(H473)&lt;=0,"Falta precio","✓ OK")))))))))))</f>
        <v/>
      </c>
      <c r="M473" t="str">
        <f>IF(N473&lt;&gt;"W","",IF(TRIM(C473)&lt;&gt;"",TRIM(C473),IFERROR(LOOKUP(2,1/(N$9:N473="T"),D$9:D473),"")))</f>
        <v/>
      </c>
      <c r="N473" t="str">
        <f t="shared" si="23"/>
        <v/>
      </c>
      <c r="O473" t="str">
        <f>IF(M473="","",IF(COUNTIF(M$9:M473,M473)=1,MAX(O$8:O472)+1,""))</f>
        <v/>
      </c>
    </row>
    <row r="474" spans="1:15" x14ac:dyDescent="0.75">
      <c r="A474" s="24" t="str">
        <f>IF(N474="W",COUNTIF(N$9:N474,"W"),"")</f>
        <v/>
      </c>
      <c r="B474" s="25"/>
      <c r="C474" s="25"/>
      <c r="D474" s="26"/>
      <c r="E474" s="25"/>
      <c r="F474" s="27"/>
      <c r="G474" s="28"/>
      <c r="H474" s="28"/>
      <c r="I474" s="29" t="str">
        <f t="shared" si="21"/>
        <v/>
      </c>
      <c r="J474" s="30" t="str">
        <f t="shared" si="22"/>
        <v/>
      </c>
      <c r="K474" s="26"/>
      <c r="L474" s="24" t="str">
        <f>IF(N474="","",IF(N474="T","Título de capítulo",IF(OR(ISERROR(F474),ISERROR(G474),ISERROR(H474)),"Error en fórmula: pegá como valores",IF(AND(B474="",$C$6=""),"Falta sector",IF(M474="","Falta capítulo",IF(TRIM(E474)="","Falta unidad",IF(NOT((COUNTIF(Listas!$A$2:$A$40,E474)+COUNTIF(Listas!$D$2:$D$60,E474)&gt;0)),"Unidad no reconocida",IF(AND(F474&lt;&gt;"",NOT(ISNUMBER(F474))),"Cantidad no es número",IF(N(F474)&lt;=0,"Falta cantidad",IF(OR(AND(G474&lt;&gt;"",NOT(ISNUMBER(G474))),AND(H474&lt;&gt;"",NOT(ISNUMBER(H474)))),"Precio no es número",IF(N(G474)+N(H474)&lt;=0,"Falta precio","✓ OK")))))))))))</f>
        <v/>
      </c>
      <c r="M474" t="str">
        <f>IF(N474&lt;&gt;"W","",IF(TRIM(C474)&lt;&gt;"",TRIM(C474),IFERROR(LOOKUP(2,1/(N$9:N474="T"),D$9:D474),"")))</f>
        <v/>
      </c>
      <c r="N474" t="str">
        <f t="shared" si="23"/>
        <v/>
      </c>
      <c r="O474" t="str">
        <f>IF(M474="","",IF(COUNTIF(M$9:M474,M474)=1,MAX(O$8:O473)+1,""))</f>
        <v/>
      </c>
    </row>
    <row r="475" spans="1:15" x14ac:dyDescent="0.75">
      <c r="A475" s="24" t="str">
        <f>IF(N475="W",COUNTIF(N$9:N475,"W"),"")</f>
        <v/>
      </c>
      <c r="B475" s="25"/>
      <c r="C475" s="25"/>
      <c r="D475" s="26"/>
      <c r="E475" s="25"/>
      <c r="F475" s="27"/>
      <c r="G475" s="28"/>
      <c r="H475" s="28"/>
      <c r="I475" s="29" t="str">
        <f t="shared" si="21"/>
        <v/>
      </c>
      <c r="J475" s="30" t="str">
        <f t="shared" si="22"/>
        <v/>
      </c>
      <c r="K475" s="26"/>
      <c r="L475" s="24" t="str">
        <f>IF(N475="","",IF(N475="T","Título de capítulo",IF(OR(ISERROR(F475),ISERROR(G475),ISERROR(H475)),"Error en fórmula: pegá como valores",IF(AND(B475="",$C$6=""),"Falta sector",IF(M475="","Falta capítulo",IF(TRIM(E475)="","Falta unidad",IF(NOT((COUNTIF(Listas!$A$2:$A$40,E475)+COUNTIF(Listas!$D$2:$D$60,E475)&gt;0)),"Unidad no reconocida",IF(AND(F475&lt;&gt;"",NOT(ISNUMBER(F475))),"Cantidad no es número",IF(N(F475)&lt;=0,"Falta cantidad",IF(OR(AND(G475&lt;&gt;"",NOT(ISNUMBER(G475))),AND(H475&lt;&gt;"",NOT(ISNUMBER(H475)))),"Precio no es número",IF(N(G475)+N(H475)&lt;=0,"Falta precio","✓ OK")))))))))))</f>
        <v/>
      </c>
      <c r="M475" t="str">
        <f>IF(N475&lt;&gt;"W","",IF(TRIM(C475)&lt;&gt;"",TRIM(C475),IFERROR(LOOKUP(2,1/(N$9:N475="T"),D$9:D475),"")))</f>
        <v/>
      </c>
      <c r="N475" t="str">
        <f t="shared" si="23"/>
        <v/>
      </c>
      <c r="O475" t="str">
        <f>IF(M475="","",IF(COUNTIF(M$9:M475,M475)=1,MAX(O$8:O474)+1,""))</f>
        <v/>
      </c>
    </row>
    <row r="476" spans="1:15" x14ac:dyDescent="0.75">
      <c r="A476" s="24" t="str">
        <f>IF(N476="W",COUNTIF(N$9:N476,"W"),"")</f>
        <v/>
      </c>
      <c r="B476" s="25"/>
      <c r="C476" s="25"/>
      <c r="D476" s="26"/>
      <c r="E476" s="25"/>
      <c r="F476" s="27"/>
      <c r="G476" s="28"/>
      <c r="H476" s="28"/>
      <c r="I476" s="29" t="str">
        <f t="shared" si="21"/>
        <v/>
      </c>
      <c r="J476" s="30" t="str">
        <f t="shared" si="22"/>
        <v/>
      </c>
      <c r="K476" s="26"/>
      <c r="L476" s="24" t="str">
        <f>IF(N476="","",IF(N476="T","Título de capítulo",IF(OR(ISERROR(F476),ISERROR(G476),ISERROR(H476)),"Error en fórmula: pegá como valores",IF(AND(B476="",$C$6=""),"Falta sector",IF(M476="","Falta capítulo",IF(TRIM(E476)="","Falta unidad",IF(NOT((COUNTIF(Listas!$A$2:$A$40,E476)+COUNTIF(Listas!$D$2:$D$60,E476)&gt;0)),"Unidad no reconocida",IF(AND(F476&lt;&gt;"",NOT(ISNUMBER(F476))),"Cantidad no es número",IF(N(F476)&lt;=0,"Falta cantidad",IF(OR(AND(G476&lt;&gt;"",NOT(ISNUMBER(G476))),AND(H476&lt;&gt;"",NOT(ISNUMBER(H476)))),"Precio no es número",IF(N(G476)+N(H476)&lt;=0,"Falta precio","✓ OK")))))))))))</f>
        <v/>
      </c>
      <c r="M476" t="str">
        <f>IF(N476&lt;&gt;"W","",IF(TRIM(C476)&lt;&gt;"",TRIM(C476),IFERROR(LOOKUP(2,1/(N$9:N476="T"),D$9:D476),"")))</f>
        <v/>
      </c>
      <c r="N476" t="str">
        <f t="shared" si="23"/>
        <v/>
      </c>
      <c r="O476" t="str">
        <f>IF(M476="","",IF(COUNTIF(M$9:M476,M476)=1,MAX(O$8:O475)+1,""))</f>
        <v/>
      </c>
    </row>
    <row r="477" spans="1:15" x14ac:dyDescent="0.75">
      <c r="A477" s="24" t="str">
        <f>IF(N477="W",COUNTIF(N$9:N477,"W"),"")</f>
        <v/>
      </c>
      <c r="B477" s="25"/>
      <c r="C477" s="25"/>
      <c r="D477" s="26"/>
      <c r="E477" s="25"/>
      <c r="F477" s="27"/>
      <c r="G477" s="28"/>
      <c r="H477" s="28"/>
      <c r="I477" s="29" t="str">
        <f t="shared" si="21"/>
        <v/>
      </c>
      <c r="J477" s="30" t="str">
        <f t="shared" si="22"/>
        <v/>
      </c>
      <c r="K477" s="26"/>
      <c r="L477" s="24" t="str">
        <f>IF(N477="","",IF(N477="T","Título de capítulo",IF(OR(ISERROR(F477),ISERROR(G477),ISERROR(H477)),"Error en fórmula: pegá como valores",IF(AND(B477="",$C$6=""),"Falta sector",IF(M477="","Falta capítulo",IF(TRIM(E477)="","Falta unidad",IF(NOT((COUNTIF(Listas!$A$2:$A$40,E477)+COUNTIF(Listas!$D$2:$D$60,E477)&gt;0)),"Unidad no reconocida",IF(AND(F477&lt;&gt;"",NOT(ISNUMBER(F477))),"Cantidad no es número",IF(N(F477)&lt;=0,"Falta cantidad",IF(OR(AND(G477&lt;&gt;"",NOT(ISNUMBER(G477))),AND(H477&lt;&gt;"",NOT(ISNUMBER(H477)))),"Precio no es número",IF(N(G477)+N(H477)&lt;=0,"Falta precio","✓ OK")))))))))))</f>
        <v/>
      </c>
      <c r="M477" t="str">
        <f>IF(N477&lt;&gt;"W","",IF(TRIM(C477)&lt;&gt;"",TRIM(C477),IFERROR(LOOKUP(2,1/(N$9:N477="T"),D$9:D477),"")))</f>
        <v/>
      </c>
      <c r="N477" t="str">
        <f t="shared" si="23"/>
        <v/>
      </c>
      <c r="O477" t="str">
        <f>IF(M477="","",IF(COUNTIF(M$9:M477,M477)=1,MAX(O$8:O476)+1,""))</f>
        <v/>
      </c>
    </row>
    <row r="478" spans="1:15" x14ac:dyDescent="0.75">
      <c r="A478" s="24" t="str">
        <f>IF(N478="W",COUNTIF(N$9:N478,"W"),"")</f>
        <v/>
      </c>
      <c r="B478" s="25"/>
      <c r="C478" s="25"/>
      <c r="D478" s="26"/>
      <c r="E478" s="25"/>
      <c r="F478" s="27"/>
      <c r="G478" s="28"/>
      <c r="H478" s="28"/>
      <c r="I478" s="29" t="str">
        <f t="shared" si="21"/>
        <v/>
      </c>
      <c r="J478" s="30" t="str">
        <f t="shared" si="22"/>
        <v/>
      </c>
      <c r="K478" s="26"/>
      <c r="L478" s="24" t="str">
        <f>IF(N478="","",IF(N478="T","Título de capítulo",IF(OR(ISERROR(F478),ISERROR(G478),ISERROR(H478)),"Error en fórmula: pegá como valores",IF(AND(B478="",$C$6=""),"Falta sector",IF(M478="","Falta capítulo",IF(TRIM(E478)="","Falta unidad",IF(NOT((COUNTIF(Listas!$A$2:$A$40,E478)+COUNTIF(Listas!$D$2:$D$60,E478)&gt;0)),"Unidad no reconocida",IF(AND(F478&lt;&gt;"",NOT(ISNUMBER(F478))),"Cantidad no es número",IF(N(F478)&lt;=0,"Falta cantidad",IF(OR(AND(G478&lt;&gt;"",NOT(ISNUMBER(G478))),AND(H478&lt;&gt;"",NOT(ISNUMBER(H478)))),"Precio no es número",IF(N(G478)+N(H478)&lt;=0,"Falta precio","✓ OK")))))))))))</f>
        <v/>
      </c>
      <c r="M478" t="str">
        <f>IF(N478&lt;&gt;"W","",IF(TRIM(C478)&lt;&gt;"",TRIM(C478),IFERROR(LOOKUP(2,1/(N$9:N478="T"),D$9:D478),"")))</f>
        <v/>
      </c>
      <c r="N478" t="str">
        <f t="shared" si="23"/>
        <v/>
      </c>
      <c r="O478" t="str">
        <f>IF(M478="","",IF(COUNTIF(M$9:M478,M478)=1,MAX(O$8:O477)+1,""))</f>
        <v/>
      </c>
    </row>
    <row r="479" spans="1:15" x14ac:dyDescent="0.75">
      <c r="A479" s="24" t="str">
        <f>IF(N479="W",COUNTIF(N$9:N479,"W"),"")</f>
        <v/>
      </c>
      <c r="B479" s="25"/>
      <c r="C479" s="25"/>
      <c r="D479" s="26"/>
      <c r="E479" s="25"/>
      <c r="F479" s="27"/>
      <c r="G479" s="28"/>
      <c r="H479" s="28"/>
      <c r="I479" s="29" t="str">
        <f t="shared" si="21"/>
        <v/>
      </c>
      <c r="J479" s="30" t="str">
        <f t="shared" si="22"/>
        <v/>
      </c>
      <c r="K479" s="26"/>
      <c r="L479" s="24" t="str">
        <f>IF(N479="","",IF(N479="T","Título de capítulo",IF(OR(ISERROR(F479),ISERROR(G479),ISERROR(H479)),"Error en fórmula: pegá como valores",IF(AND(B479="",$C$6=""),"Falta sector",IF(M479="","Falta capítulo",IF(TRIM(E479)="","Falta unidad",IF(NOT((COUNTIF(Listas!$A$2:$A$40,E479)+COUNTIF(Listas!$D$2:$D$60,E479)&gt;0)),"Unidad no reconocida",IF(AND(F479&lt;&gt;"",NOT(ISNUMBER(F479))),"Cantidad no es número",IF(N(F479)&lt;=0,"Falta cantidad",IF(OR(AND(G479&lt;&gt;"",NOT(ISNUMBER(G479))),AND(H479&lt;&gt;"",NOT(ISNUMBER(H479)))),"Precio no es número",IF(N(G479)+N(H479)&lt;=0,"Falta precio","✓ OK")))))))))))</f>
        <v/>
      </c>
      <c r="M479" t="str">
        <f>IF(N479&lt;&gt;"W","",IF(TRIM(C479)&lt;&gt;"",TRIM(C479),IFERROR(LOOKUP(2,1/(N$9:N479="T"),D$9:D479),"")))</f>
        <v/>
      </c>
      <c r="N479" t="str">
        <f t="shared" si="23"/>
        <v/>
      </c>
      <c r="O479" t="str">
        <f>IF(M479="","",IF(COUNTIF(M$9:M479,M479)=1,MAX(O$8:O478)+1,""))</f>
        <v/>
      </c>
    </row>
    <row r="480" spans="1:15" x14ac:dyDescent="0.75">
      <c r="A480" s="24" t="str">
        <f>IF(N480="W",COUNTIF(N$9:N480,"W"),"")</f>
        <v/>
      </c>
      <c r="B480" s="25"/>
      <c r="C480" s="25"/>
      <c r="D480" s="26"/>
      <c r="E480" s="25"/>
      <c r="F480" s="27"/>
      <c r="G480" s="28"/>
      <c r="H480" s="28"/>
      <c r="I480" s="29" t="str">
        <f t="shared" si="21"/>
        <v/>
      </c>
      <c r="J480" s="30" t="str">
        <f t="shared" si="22"/>
        <v/>
      </c>
      <c r="K480" s="26"/>
      <c r="L480" s="24" t="str">
        <f>IF(N480="","",IF(N480="T","Título de capítulo",IF(OR(ISERROR(F480),ISERROR(G480),ISERROR(H480)),"Error en fórmula: pegá como valores",IF(AND(B480="",$C$6=""),"Falta sector",IF(M480="","Falta capítulo",IF(TRIM(E480)="","Falta unidad",IF(NOT((COUNTIF(Listas!$A$2:$A$40,E480)+COUNTIF(Listas!$D$2:$D$60,E480)&gt;0)),"Unidad no reconocida",IF(AND(F480&lt;&gt;"",NOT(ISNUMBER(F480))),"Cantidad no es número",IF(N(F480)&lt;=0,"Falta cantidad",IF(OR(AND(G480&lt;&gt;"",NOT(ISNUMBER(G480))),AND(H480&lt;&gt;"",NOT(ISNUMBER(H480)))),"Precio no es número",IF(N(G480)+N(H480)&lt;=0,"Falta precio","✓ OK")))))))))))</f>
        <v/>
      </c>
      <c r="M480" t="str">
        <f>IF(N480&lt;&gt;"W","",IF(TRIM(C480)&lt;&gt;"",TRIM(C480),IFERROR(LOOKUP(2,1/(N$9:N480="T"),D$9:D480),"")))</f>
        <v/>
      </c>
      <c r="N480" t="str">
        <f t="shared" si="23"/>
        <v/>
      </c>
      <c r="O480" t="str">
        <f>IF(M480="","",IF(COUNTIF(M$9:M480,M480)=1,MAX(O$8:O479)+1,""))</f>
        <v/>
      </c>
    </row>
    <row r="481" spans="1:15" x14ac:dyDescent="0.75">
      <c r="A481" s="24" t="str">
        <f>IF(N481="W",COUNTIF(N$9:N481,"W"),"")</f>
        <v/>
      </c>
      <c r="B481" s="25"/>
      <c r="C481" s="25"/>
      <c r="D481" s="26"/>
      <c r="E481" s="25"/>
      <c r="F481" s="27"/>
      <c r="G481" s="28"/>
      <c r="H481" s="28"/>
      <c r="I481" s="29" t="str">
        <f t="shared" si="21"/>
        <v/>
      </c>
      <c r="J481" s="30" t="str">
        <f t="shared" si="22"/>
        <v/>
      </c>
      <c r="K481" s="26"/>
      <c r="L481" s="24" t="str">
        <f>IF(N481="","",IF(N481="T","Título de capítulo",IF(OR(ISERROR(F481),ISERROR(G481),ISERROR(H481)),"Error en fórmula: pegá como valores",IF(AND(B481="",$C$6=""),"Falta sector",IF(M481="","Falta capítulo",IF(TRIM(E481)="","Falta unidad",IF(NOT((COUNTIF(Listas!$A$2:$A$40,E481)+COUNTIF(Listas!$D$2:$D$60,E481)&gt;0)),"Unidad no reconocida",IF(AND(F481&lt;&gt;"",NOT(ISNUMBER(F481))),"Cantidad no es número",IF(N(F481)&lt;=0,"Falta cantidad",IF(OR(AND(G481&lt;&gt;"",NOT(ISNUMBER(G481))),AND(H481&lt;&gt;"",NOT(ISNUMBER(H481)))),"Precio no es número",IF(N(G481)+N(H481)&lt;=0,"Falta precio","✓ OK")))))))))))</f>
        <v/>
      </c>
      <c r="M481" t="str">
        <f>IF(N481&lt;&gt;"W","",IF(TRIM(C481)&lt;&gt;"",TRIM(C481),IFERROR(LOOKUP(2,1/(N$9:N481="T"),D$9:D481),"")))</f>
        <v/>
      </c>
      <c r="N481" t="str">
        <f t="shared" si="23"/>
        <v/>
      </c>
      <c r="O481" t="str">
        <f>IF(M481="","",IF(COUNTIF(M$9:M481,M481)=1,MAX(O$8:O480)+1,""))</f>
        <v/>
      </c>
    </row>
    <row r="482" spans="1:15" x14ac:dyDescent="0.75">
      <c r="A482" s="24" t="str">
        <f>IF(N482="W",COUNTIF(N$9:N482,"W"),"")</f>
        <v/>
      </c>
      <c r="B482" s="25"/>
      <c r="C482" s="25"/>
      <c r="D482" s="26"/>
      <c r="E482" s="25"/>
      <c r="F482" s="27"/>
      <c r="G482" s="28"/>
      <c r="H482" s="28"/>
      <c r="I482" s="29" t="str">
        <f t="shared" si="21"/>
        <v/>
      </c>
      <c r="J482" s="30" t="str">
        <f t="shared" si="22"/>
        <v/>
      </c>
      <c r="K482" s="26"/>
      <c r="L482" s="24" t="str">
        <f>IF(N482="","",IF(N482="T","Título de capítulo",IF(OR(ISERROR(F482),ISERROR(G482),ISERROR(H482)),"Error en fórmula: pegá como valores",IF(AND(B482="",$C$6=""),"Falta sector",IF(M482="","Falta capítulo",IF(TRIM(E482)="","Falta unidad",IF(NOT((COUNTIF(Listas!$A$2:$A$40,E482)+COUNTIF(Listas!$D$2:$D$60,E482)&gt;0)),"Unidad no reconocida",IF(AND(F482&lt;&gt;"",NOT(ISNUMBER(F482))),"Cantidad no es número",IF(N(F482)&lt;=0,"Falta cantidad",IF(OR(AND(G482&lt;&gt;"",NOT(ISNUMBER(G482))),AND(H482&lt;&gt;"",NOT(ISNUMBER(H482)))),"Precio no es número",IF(N(G482)+N(H482)&lt;=0,"Falta precio","✓ OK")))))))))))</f>
        <v/>
      </c>
      <c r="M482" t="str">
        <f>IF(N482&lt;&gt;"W","",IF(TRIM(C482)&lt;&gt;"",TRIM(C482),IFERROR(LOOKUP(2,1/(N$9:N482="T"),D$9:D482),"")))</f>
        <v/>
      </c>
      <c r="N482" t="str">
        <f t="shared" si="23"/>
        <v/>
      </c>
      <c r="O482" t="str">
        <f>IF(M482="","",IF(COUNTIF(M$9:M482,M482)=1,MAX(O$8:O481)+1,""))</f>
        <v/>
      </c>
    </row>
    <row r="483" spans="1:15" x14ac:dyDescent="0.75">
      <c r="A483" s="24" t="str">
        <f>IF(N483="W",COUNTIF(N$9:N483,"W"),"")</f>
        <v/>
      </c>
      <c r="B483" s="25"/>
      <c r="C483" s="25"/>
      <c r="D483" s="26"/>
      <c r="E483" s="25"/>
      <c r="F483" s="27"/>
      <c r="G483" s="28"/>
      <c r="H483" s="28"/>
      <c r="I483" s="29" t="str">
        <f t="shared" si="21"/>
        <v/>
      </c>
      <c r="J483" s="30" t="str">
        <f t="shared" si="22"/>
        <v/>
      </c>
      <c r="K483" s="26"/>
      <c r="L483" s="24" t="str">
        <f>IF(N483="","",IF(N483="T","Título de capítulo",IF(OR(ISERROR(F483),ISERROR(G483),ISERROR(H483)),"Error en fórmula: pegá como valores",IF(AND(B483="",$C$6=""),"Falta sector",IF(M483="","Falta capítulo",IF(TRIM(E483)="","Falta unidad",IF(NOT((COUNTIF(Listas!$A$2:$A$40,E483)+COUNTIF(Listas!$D$2:$D$60,E483)&gt;0)),"Unidad no reconocida",IF(AND(F483&lt;&gt;"",NOT(ISNUMBER(F483))),"Cantidad no es número",IF(N(F483)&lt;=0,"Falta cantidad",IF(OR(AND(G483&lt;&gt;"",NOT(ISNUMBER(G483))),AND(H483&lt;&gt;"",NOT(ISNUMBER(H483)))),"Precio no es número",IF(N(G483)+N(H483)&lt;=0,"Falta precio","✓ OK")))))))))))</f>
        <v/>
      </c>
      <c r="M483" t="str">
        <f>IF(N483&lt;&gt;"W","",IF(TRIM(C483)&lt;&gt;"",TRIM(C483),IFERROR(LOOKUP(2,1/(N$9:N483="T"),D$9:D483),"")))</f>
        <v/>
      </c>
      <c r="N483" t="str">
        <f t="shared" si="23"/>
        <v/>
      </c>
      <c r="O483" t="str">
        <f>IF(M483="","",IF(COUNTIF(M$9:M483,M483)=1,MAX(O$8:O482)+1,""))</f>
        <v/>
      </c>
    </row>
    <row r="484" spans="1:15" x14ac:dyDescent="0.75">
      <c r="A484" s="24" t="str">
        <f>IF(N484="W",COUNTIF(N$9:N484,"W"),"")</f>
        <v/>
      </c>
      <c r="B484" s="25"/>
      <c r="C484" s="25"/>
      <c r="D484" s="26"/>
      <c r="E484" s="25"/>
      <c r="F484" s="27"/>
      <c r="G484" s="28"/>
      <c r="H484" s="28"/>
      <c r="I484" s="29" t="str">
        <f t="shared" si="21"/>
        <v/>
      </c>
      <c r="J484" s="30" t="str">
        <f t="shared" si="22"/>
        <v/>
      </c>
      <c r="K484" s="26"/>
      <c r="L484" s="24" t="str">
        <f>IF(N484="","",IF(N484="T","Título de capítulo",IF(OR(ISERROR(F484),ISERROR(G484),ISERROR(H484)),"Error en fórmula: pegá como valores",IF(AND(B484="",$C$6=""),"Falta sector",IF(M484="","Falta capítulo",IF(TRIM(E484)="","Falta unidad",IF(NOT((COUNTIF(Listas!$A$2:$A$40,E484)+COUNTIF(Listas!$D$2:$D$60,E484)&gt;0)),"Unidad no reconocida",IF(AND(F484&lt;&gt;"",NOT(ISNUMBER(F484))),"Cantidad no es número",IF(N(F484)&lt;=0,"Falta cantidad",IF(OR(AND(G484&lt;&gt;"",NOT(ISNUMBER(G484))),AND(H484&lt;&gt;"",NOT(ISNUMBER(H484)))),"Precio no es número",IF(N(G484)+N(H484)&lt;=0,"Falta precio","✓ OK")))))))))))</f>
        <v/>
      </c>
      <c r="M484" t="str">
        <f>IF(N484&lt;&gt;"W","",IF(TRIM(C484)&lt;&gt;"",TRIM(C484),IFERROR(LOOKUP(2,1/(N$9:N484="T"),D$9:D484),"")))</f>
        <v/>
      </c>
      <c r="N484" t="str">
        <f t="shared" si="23"/>
        <v/>
      </c>
      <c r="O484" t="str">
        <f>IF(M484="","",IF(COUNTIF(M$9:M484,M484)=1,MAX(O$8:O483)+1,""))</f>
        <v/>
      </c>
    </row>
    <row r="485" spans="1:15" x14ac:dyDescent="0.75">
      <c r="A485" s="24" t="str">
        <f>IF(N485="W",COUNTIF(N$9:N485,"W"),"")</f>
        <v/>
      </c>
      <c r="B485" s="25"/>
      <c r="C485" s="25"/>
      <c r="D485" s="26"/>
      <c r="E485" s="25"/>
      <c r="F485" s="27"/>
      <c r="G485" s="28"/>
      <c r="H485" s="28"/>
      <c r="I485" s="29" t="str">
        <f t="shared" si="21"/>
        <v/>
      </c>
      <c r="J485" s="30" t="str">
        <f t="shared" si="22"/>
        <v/>
      </c>
      <c r="K485" s="26"/>
      <c r="L485" s="24" t="str">
        <f>IF(N485="","",IF(N485="T","Título de capítulo",IF(OR(ISERROR(F485),ISERROR(G485),ISERROR(H485)),"Error en fórmula: pegá como valores",IF(AND(B485="",$C$6=""),"Falta sector",IF(M485="","Falta capítulo",IF(TRIM(E485)="","Falta unidad",IF(NOT((COUNTIF(Listas!$A$2:$A$40,E485)+COUNTIF(Listas!$D$2:$D$60,E485)&gt;0)),"Unidad no reconocida",IF(AND(F485&lt;&gt;"",NOT(ISNUMBER(F485))),"Cantidad no es número",IF(N(F485)&lt;=0,"Falta cantidad",IF(OR(AND(G485&lt;&gt;"",NOT(ISNUMBER(G485))),AND(H485&lt;&gt;"",NOT(ISNUMBER(H485)))),"Precio no es número",IF(N(G485)+N(H485)&lt;=0,"Falta precio","✓ OK")))))))))))</f>
        <v/>
      </c>
      <c r="M485" t="str">
        <f>IF(N485&lt;&gt;"W","",IF(TRIM(C485)&lt;&gt;"",TRIM(C485),IFERROR(LOOKUP(2,1/(N$9:N485="T"),D$9:D485),"")))</f>
        <v/>
      </c>
      <c r="N485" t="str">
        <f t="shared" si="23"/>
        <v/>
      </c>
      <c r="O485" t="str">
        <f>IF(M485="","",IF(COUNTIF(M$9:M485,M485)=1,MAX(O$8:O484)+1,""))</f>
        <v/>
      </c>
    </row>
    <row r="486" spans="1:15" x14ac:dyDescent="0.75">
      <c r="A486" s="24" t="str">
        <f>IF(N486="W",COUNTIF(N$9:N486,"W"),"")</f>
        <v/>
      </c>
      <c r="B486" s="25"/>
      <c r="C486" s="25"/>
      <c r="D486" s="26"/>
      <c r="E486" s="25"/>
      <c r="F486" s="27"/>
      <c r="G486" s="28"/>
      <c r="H486" s="28"/>
      <c r="I486" s="29" t="str">
        <f t="shared" si="21"/>
        <v/>
      </c>
      <c r="J486" s="30" t="str">
        <f t="shared" si="22"/>
        <v/>
      </c>
      <c r="K486" s="26"/>
      <c r="L486" s="24" t="str">
        <f>IF(N486="","",IF(N486="T","Título de capítulo",IF(OR(ISERROR(F486),ISERROR(G486),ISERROR(H486)),"Error en fórmula: pegá como valores",IF(AND(B486="",$C$6=""),"Falta sector",IF(M486="","Falta capítulo",IF(TRIM(E486)="","Falta unidad",IF(NOT((COUNTIF(Listas!$A$2:$A$40,E486)+COUNTIF(Listas!$D$2:$D$60,E486)&gt;0)),"Unidad no reconocida",IF(AND(F486&lt;&gt;"",NOT(ISNUMBER(F486))),"Cantidad no es número",IF(N(F486)&lt;=0,"Falta cantidad",IF(OR(AND(G486&lt;&gt;"",NOT(ISNUMBER(G486))),AND(H486&lt;&gt;"",NOT(ISNUMBER(H486)))),"Precio no es número",IF(N(G486)+N(H486)&lt;=0,"Falta precio","✓ OK")))))))))))</f>
        <v/>
      </c>
      <c r="M486" t="str">
        <f>IF(N486&lt;&gt;"W","",IF(TRIM(C486)&lt;&gt;"",TRIM(C486),IFERROR(LOOKUP(2,1/(N$9:N486="T"),D$9:D486),"")))</f>
        <v/>
      </c>
      <c r="N486" t="str">
        <f t="shared" si="23"/>
        <v/>
      </c>
      <c r="O486" t="str">
        <f>IF(M486="","",IF(COUNTIF(M$9:M486,M486)=1,MAX(O$8:O485)+1,""))</f>
        <v/>
      </c>
    </row>
    <row r="487" spans="1:15" x14ac:dyDescent="0.75">
      <c r="A487" s="24" t="str">
        <f>IF(N487="W",COUNTIF(N$9:N487,"W"),"")</f>
        <v/>
      </c>
      <c r="B487" s="25"/>
      <c r="C487" s="25"/>
      <c r="D487" s="26"/>
      <c r="E487" s="25"/>
      <c r="F487" s="27"/>
      <c r="G487" s="28"/>
      <c r="H487" s="28"/>
      <c r="I487" s="29" t="str">
        <f t="shared" si="21"/>
        <v/>
      </c>
      <c r="J487" s="30" t="str">
        <f t="shared" si="22"/>
        <v/>
      </c>
      <c r="K487" s="26"/>
      <c r="L487" s="24" t="str">
        <f>IF(N487="","",IF(N487="T","Título de capítulo",IF(OR(ISERROR(F487),ISERROR(G487),ISERROR(H487)),"Error en fórmula: pegá como valores",IF(AND(B487="",$C$6=""),"Falta sector",IF(M487="","Falta capítulo",IF(TRIM(E487)="","Falta unidad",IF(NOT((COUNTIF(Listas!$A$2:$A$40,E487)+COUNTIF(Listas!$D$2:$D$60,E487)&gt;0)),"Unidad no reconocida",IF(AND(F487&lt;&gt;"",NOT(ISNUMBER(F487))),"Cantidad no es número",IF(N(F487)&lt;=0,"Falta cantidad",IF(OR(AND(G487&lt;&gt;"",NOT(ISNUMBER(G487))),AND(H487&lt;&gt;"",NOT(ISNUMBER(H487)))),"Precio no es número",IF(N(G487)+N(H487)&lt;=0,"Falta precio","✓ OK")))))))))))</f>
        <v/>
      </c>
      <c r="M487" t="str">
        <f>IF(N487&lt;&gt;"W","",IF(TRIM(C487)&lt;&gt;"",TRIM(C487),IFERROR(LOOKUP(2,1/(N$9:N487="T"),D$9:D487),"")))</f>
        <v/>
      </c>
      <c r="N487" t="str">
        <f t="shared" si="23"/>
        <v/>
      </c>
      <c r="O487" t="str">
        <f>IF(M487="","",IF(COUNTIF(M$9:M487,M487)=1,MAX(O$8:O486)+1,""))</f>
        <v/>
      </c>
    </row>
    <row r="488" spans="1:15" x14ac:dyDescent="0.75">
      <c r="A488" s="24" t="str">
        <f>IF(N488="W",COUNTIF(N$9:N488,"W"),"")</f>
        <v/>
      </c>
      <c r="B488" s="25"/>
      <c r="C488" s="25"/>
      <c r="D488" s="26"/>
      <c r="E488" s="25"/>
      <c r="F488" s="27"/>
      <c r="G488" s="28"/>
      <c r="H488" s="28"/>
      <c r="I488" s="29" t="str">
        <f t="shared" si="21"/>
        <v/>
      </c>
      <c r="J488" s="30" t="str">
        <f t="shared" si="22"/>
        <v/>
      </c>
      <c r="K488" s="26"/>
      <c r="L488" s="24" t="str">
        <f>IF(N488="","",IF(N488="T","Título de capítulo",IF(OR(ISERROR(F488),ISERROR(G488),ISERROR(H488)),"Error en fórmula: pegá como valores",IF(AND(B488="",$C$6=""),"Falta sector",IF(M488="","Falta capítulo",IF(TRIM(E488)="","Falta unidad",IF(NOT((COUNTIF(Listas!$A$2:$A$40,E488)+COUNTIF(Listas!$D$2:$D$60,E488)&gt;0)),"Unidad no reconocida",IF(AND(F488&lt;&gt;"",NOT(ISNUMBER(F488))),"Cantidad no es número",IF(N(F488)&lt;=0,"Falta cantidad",IF(OR(AND(G488&lt;&gt;"",NOT(ISNUMBER(G488))),AND(H488&lt;&gt;"",NOT(ISNUMBER(H488)))),"Precio no es número",IF(N(G488)+N(H488)&lt;=0,"Falta precio","✓ OK")))))))))))</f>
        <v/>
      </c>
      <c r="M488" t="str">
        <f>IF(N488&lt;&gt;"W","",IF(TRIM(C488)&lt;&gt;"",TRIM(C488),IFERROR(LOOKUP(2,1/(N$9:N488="T"),D$9:D488),"")))</f>
        <v/>
      </c>
      <c r="N488" t="str">
        <f t="shared" si="23"/>
        <v/>
      </c>
      <c r="O488" t="str">
        <f>IF(M488="","",IF(COUNTIF(M$9:M488,M488)=1,MAX(O$8:O487)+1,""))</f>
        <v/>
      </c>
    </row>
    <row r="489" spans="1:15" x14ac:dyDescent="0.75">
      <c r="A489" s="24" t="str">
        <f>IF(N489="W",COUNTIF(N$9:N489,"W"),"")</f>
        <v/>
      </c>
      <c r="B489" s="25"/>
      <c r="C489" s="25"/>
      <c r="D489" s="26"/>
      <c r="E489" s="25"/>
      <c r="F489" s="27"/>
      <c r="G489" s="28"/>
      <c r="H489" s="28"/>
      <c r="I489" s="29" t="str">
        <f t="shared" si="21"/>
        <v/>
      </c>
      <c r="J489" s="30" t="str">
        <f t="shared" si="22"/>
        <v/>
      </c>
      <c r="K489" s="26"/>
      <c r="L489" s="24" t="str">
        <f>IF(N489="","",IF(N489="T","Título de capítulo",IF(OR(ISERROR(F489),ISERROR(G489),ISERROR(H489)),"Error en fórmula: pegá como valores",IF(AND(B489="",$C$6=""),"Falta sector",IF(M489="","Falta capítulo",IF(TRIM(E489)="","Falta unidad",IF(NOT((COUNTIF(Listas!$A$2:$A$40,E489)+COUNTIF(Listas!$D$2:$D$60,E489)&gt;0)),"Unidad no reconocida",IF(AND(F489&lt;&gt;"",NOT(ISNUMBER(F489))),"Cantidad no es número",IF(N(F489)&lt;=0,"Falta cantidad",IF(OR(AND(G489&lt;&gt;"",NOT(ISNUMBER(G489))),AND(H489&lt;&gt;"",NOT(ISNUMBER(H489)))),"Precio no es número",IF(N(G489)+N(H489)&lt;=0,"Falta precio","✓ OK")))))))))))</f>
        <v/>
      </c>
      <c r="M489" t="str">
        <f>IF(N489&lt;&gt;"W","",IF(TRIM(C489)&lt;&gt;"",TRIM(C489),IFERROR(LOOKUP(2,1/(N$9:N489="T"),D$9:D489),"")))</f>
        <v/>
      </c>
      <c r="N489" t="str">
        <f t="shared" si="23"/>
        <v/>
      </c>
      <c r="O489" t="str">
        <f>IF(M489="","",IF(COUNTIF(M$9:M489,M489)=1,MAX(O$8:O488)+1,""))</f>
        <v/>
      </c>
    </row>
    <row r="490" spans="1:15" x14ac:dyDescent="0.75">
      <c r="A490" s="24" t="str">
        <f>IF(N490="W",COUNTIF(N$9:N490,"W"),"")</f>
        <v/>
      </c>
      <c r="B490" s="25"/>
      <c r="C490" s="25"/>
      <c r="D490" s="26"/>
      <c r="E490" s="25"/>
      <c r="F490" s="27"/>
      <c r="G490" s="28"/>
      <c r="H490" s="28"/>
      <c r="I490" s="29" t="str">
        <f t="shared" si="21"/>
        <v/>
      </c>
      <c r="J490" s="30" t="str">
        <f t="shared" si="22"/>
        <v/>
      </c>
      <c r="K490" s="26"/>
      <c r="L490" s="24" t="str">
        <f>IF(N490="","",IF(N490="T","Título de capítulo",IF(OR(ISERROR(F490),ISERROR(G490),ISERROR(H490)),"Error en fórmula: pegá como valores",IF(AND(B490="",$C$6=""),"Falta sector",IF(M490="","Falta capítulo",IF(TRIM(E490)="","Falta unidad",IF(NOT((COUNTIF(Listas!$A$2:$A$40,E490)+COUNTIF(Listas!$D$2:$D$60,E490)&gt;0)),"Unidad no reconocida",IF(AND(F490&lt;&gt;"",NOT(ISNUMBER(F490))),"Cantidad no es número",IF(N(F490)&lt;=0,"Falta cantidad",IF(OR(AND(G490&lt;&gt;"",NOT(ISNUMBER(G490))),AND(H490&lt;&gt;"",NOT(ISNUMBER(H490)))),"Precio no es número",IF(N(G490)+N(H490)&lt;=0,"Falta precio","✓ OK")))))))))))</f>
        <v/>
      </c>
      <c r="M490" t="str">
        <f>IF(N490&lt;&gt;"W","",IF(TRIM(C490)&lt;&gt;"",TRIM(C490),IFERROR(LOOKUP(2,1/(N$9:N490="T"),D$9:D490),"")))</f>
        <v/>
      </c>
      <c r="N490" t="str">
        <f t="shared" si="23"/>
        <v/>
      </c>
      <c r="O490" t="str">
        <f>IF(M490="","",IF(COUNTIF(M$9:M490,M490)=1,MAX(O$8:O489)+1,""))</f>
        <v/>
      </c>
    </row>
    <row r="491" spans="1:15" x14ac:dyDescent="0.75">
      <c r="A491" s="24" t="str">
        <f>IF(N491="W",COUNTIF(N$9:N491,"W"),"")</f>
        <v/>
      </c>
      <c r="B491" s="25"/>
      <c r="C491" s="25"/>
      <c r="D491" s="26"/>
      <c r="E491" s="25"/>
      <c r="F491" s="27"/>
      <c r="G491" s="28"/>
      <c r="H491" s="28"/>
      <c r="I491" s="29" t="str">
        <f t="shared" si="21"/>
        <v/>
      </c>
      <c r="J491" s="30" t="str">
        <f t="shared" si="22"/>
        <v/>
      </c>
      <c r="K491" s="26"/>
      <c r="L491" s="24" t="str">
        <f>IF(N491="","",IF(N491="T","Título de capítulo",IF(OR(ISERROR(F491),ISERROR(G491),ISERROR(H491)),"Error en fórmula: pegá como valores",IF(AND(B491="",$C$6=""),"Falta sector",IF(M491="","Falta capítulo",IF(TRIM(E491)="","Falta unidad",IF(NOT((COUNTIF(Listas!$A$2:$A$40,E491)+COUNTIF(Listas!$D$2:$D$60,E491)&gt;0)),"Unidad no reconocida",IF(AND(F491&lt;&gt;"",NOT(ISNUMBER(F491))),"Cantidad no es número",IF(N(F491)&lt;=0,"Falta cantidad",IF(OR(AND(G491&lt;&gt;"",NOT(ISNUMBER(G491))),AND(H491&lt;&gt;"",NOT(ISNUMBER(H491)))),"Precio no es número",IF(N(G491)+N(H491)&lt;=0,"Falta precio","✓ OK")))))))))))</f>
        <v/>
      </c>
      <c r="M491" t="str">
        <f>IF(N491&lt;&gt;"W","",IF(TRIM(C491)&lt;&gt;"",TRIM(C491),IFERROR(LOOKUP(2,1/(N$9:N491="T"),D$9:D491),"")))</f>
        <v/>
      </c>
      <c r="N491" t="str">
        <f t="shared" si="23"/>
        <v/>
      </c>
      <c r="O491" t="str">
        <f>IF(M491="","",IF(COUNTIF(M$9:M491,M491)=1,MAX(O$8:O490)+1,""))</f>
        <v/>
      </c>
    </row>
    <row r="492" spans="1:15" x14ac:dyDescent="0.75">
      <c r="A492" s="24" t="str">
        <f>IF(N492="W",COUNTIF(N$9:N492,"W"),"")</f>
        <v/>
      </c>
      <c r="B492" s="25"/>
      <c r="C492" s="25"/>
      <c r="D492" s="26"/>
      <c r="E492" s="25"/>
      <c r="F492" s="27"/>
      <c r="G492" s="28"/>
      <c r="H492" s="28"/>
      <c r="I492" s="29" t="str">
        <f t="shared" si="21"/>
        <v/>
      </c>
      <c r="J492" s="30" t="str">
        <f t="shared" si="22"/>
        <v/>
      </c>
      <c r="K492" s="26"/>
      <c r="L492" s="24" t="str">
        <f>IF(N492="","",IF(N492="T","Título de capítulo",IF(OR(ISERROR(F492),ISERROR(G492),ISERROR(H492)),"Error en fórmula: pegá como valores",IF(AND(B492="",$C$6=""),"Falta sector",IF(M492="","Falta capítulo",IF(TRIM(E492)="","Falta unidad",IF(NOT((COUNTIF(Listas!$A$2:$A$40,E492)+COUNTIF(Listas!$D$2:$D$60,E492)&gt;0)),"Unidad no reconocida",IF(AND(F492&lt;&gt;"",NOT(ISNUMBER(F492))),"Cantidad no es número",IF(N(F492)&lt;=0,"Falta cantidad",IF(OR(AND(G492&lt;&gt;"",NOT(ISNUMBER(G492))),AND(H492&lt;&gt;"",NOT(ISNUMBER(H492)))),"Precio no es número",IF(N(G492)+N(H492)&lt;=0,"Falta precio","✓ OK")))))))))))</f>
        <v/>
      </c>
      <c r="M492" t="str">
        <f>IF(N492&lt;&gt;"W","",IF(TRIM(C492)&lt;&gt;"",TRIM(C492),IFERROR(LOOKUP(2,1/(N$9:N492="T"),D$9:D492),"")))</f>
        <v/>
      </c>
      <c r="N492" t="str">
        <f t="shared" si="23"/>
        <v/>
      </c>
      <c r="O492" t="str">
        <f>IF(M492="","",IF(COUNTIF(M$9:M492,M492)=1,MAX(O$8:O491)+1,""))</f>
        <v/>
      </c>
    </row>
    <row r="493" spans="1:15" x14ac:dyDescent="0.75">
      <c r="A493" s="24" t="str">
        <f>IF(N493="W",COUNTIF(N$9:N493,"W"),"")</f>
        <v/>
      </c>
      <c r="B493" s="25"/>
      <c r="C493" s="25"/>
      <c r="D493" s="26"/>
      <c r="E493" s="25"/>
      <c r="F493" s="27"/>
      <c r="G493" s="28"/>
      <c r="H493" s="28"/>
      <c r="I493" s="29" t="str">
        <f t="shared" si="21"/>
        <v/>
      </c>
      <c r="J493" s="30" t="str">
        <f t="shared" si="22"/>
        <v/>
      </c>
      <c r="K493" s="26"/>
      <c r="L493" s="24" t="str">
        <f>IF(N493="","",IF(N493="T","Título de capítulo",IF(OR(ISERROR(F493),ISERROR(G493),ISERROR(H493)),"Error en fórmula: pegá como valores",IF(AND(B493="",$C$6=""),"Falta sector",IF(M493="","Falta capítulo",IF(TRIM(E493)="","Falta unidad",IF(NOT((COUNTIF(Listas!$A$2:$A$40,E493)+COUNTIF(Listas!$D$2:$D$60,E493)&gt;0)),"Unidad no reconocida",IF(AND(F493&lt;&gt;"",NOT(ISNUMBER(F493))),"Cantidad no es número",IF(N(F493)&lt;=0,"Falta cantidad",IF(OR(AND(G493&lt;&gt;"",NOT(ISNUMBER(G493))),AND(H493&lt;&gt;"",NOT(ISNUMBER(H493)))),"Precio no es número",IF(N(G493)+N(H493)&lt;=0,"Falta precio","✓ OK")))))))))))</f>
        <v/>
      </c>
      <c r="M493" t="str">
        <f>IF(N493&lt;&gt;"W","",IF(TRIM(C493)&lt;&gt;"",TRIM(C493),IFERROR(LOOKUP(2,1/(N$9:N493="T"),D$9:D493),"")))</f>
        <v/>
      </c>
      <c r="N493" t="str">
        <f t="shared" si="23"/>
        <v/>
      </c>
      <c r="O493" t="str">
        <f>IF(M493="","",IF(COUNTIF(M$9:M493,M493)=1,MAX(O$8:O492)+1,""))</f>
        <v/>
      </c>
    </row>
    <row r="494" spans="1:15" x14ac:dyDescent="0.75">
      <c r="A494" s="24" t="str">
        <f>IF(N494="W",COUNTIF(N$9:N494,"W"),"")</f>
        <v/>
      </c>
      <c r="B494" s="25"/>
      <c r="C494" s="25"/>
      <c r="D494" s="26"/>
      <c r="E494" s="25"/>
      <c r="F494" s="27"/>
      <c r="G494" s="28"/>
      <c r="H494" s="28"/>
      <c r="I494" s="29" t="str">
        <f t="shared" si="21"/>
        <v/>
      </c>
      <c r="J494" s="30" t="str">
        <f t="shared" si="22"/>
        <v/>
      </c>
      <c r="K494" s="26"/>
      <c r="L494" s="24" t="str">
        <f>IF(N494="","",IF(N494="T","Título de capítulo",IF(OR(ISERROR(F494),ISERROR(G494),ISERROR(H494)),"Error en fórmula: pegá como valores",IF(AND(B494="",$C$6=""),"Falta sector",IF(M494="","Falta capítulo",IF(TRIM(E494)="","Falta unidad",IF(NOT((COUNTIF(Listas!$A$2:$A$40,E494)+COUNTIF(Listas!$D$2:$D$60,E494)&gt;0)),"Unidad no reconocida",IF(AND(F494&lt;&gt;"",NOT(ISNUMBER(F494))),"Cantidad no es número",IF(N(F494)&lt;=0,"Falta cantidad",IF(OR(AND(G494&lt;&gt;"",NOT(ISNUMBER(G494))),AND(H494&lt;&gt;"",NOT(ISNUMBER(H494)))),"Precio no es número",IF(N(G494)+N(H494)&lt;=0,"Falta precio","✓ OK")))))))))))</f>
        <v/>
      </c>
      <c r="M494" t="str">
        <f>IF(N494&lt;&gt;"W","",IF(TRIM(C494)&lt;&gt;"",TRIM(C494),IFERROR(LOOKUP(2,1/(N$9:N494="T"),D$9:D494),"")))</f>
        <v/>
      </c>
      <c r="N494" t="str">
        <f t="shared" si="23"/>
        <v/>
      </c>
      <c r="O494" t="str">
        <f>IF(M494="","",IF(COUNTIF(M$9:M494,M494)=1,MAX(O$8:O493)+1,""))</f>
        <v/>
      </c>
    </row>
    <row r="495" spans="1:15" x14ac:dyDescent="0.75">
      <c r="A495" s="24" t="str">
        <f>IF(N495="W",COUNTIF(N$9:N495,"W"),"")</f>
        <v/>
      </c>
      <c r="B495" s="25"/>
      <c r="C495" s="25"/>
      <c r="D495" s="26"/>
      <c r="E495" s="25"/>
      <c r="F495" s="27"/>
      <c r="G495" s="28"/>
      <c r="H495" s="28"/>
      <c r="I495" s="29" t="str">
        <f t="shared" si="21"/>
        <v/>
      </c>
      <c r="J495" s="30" t="str">
        <f t="shared" si="22"/>
        <v/>
      </c>
      <c r="K495" s="26"/>
      <c r="L495" s="24" t="str">
        <f>IF(N495="","",IF(N495="T","Título de capítulo",IF(OR(ISERROR(F495),ISERROR(G495),ISERROR(H495)),"Error en fórmula: pegá como valores",IF(AND(B495="",$C$6=""),"Falta sector",IF(M495="","Falta capítulo",IF(TRIM(E495)="","Falta unidad",IF(NOT((COUNTIF(Listas!$A$2:$A$40,E495)+COUNTIF(Listas!$D$2:$D$60,E495)&gt;0)),"Unidad no reconocida",IF(AND(F495&lt;&gt;"",NOT(ISNUMBER(F495))),"Cantidad no es número",IF(N(F495)&lt;=0,"Falta cantidad",IF(OR(AND(G495&lt;&gt;"",NOT(ISNUMBER(G495))),AND(H495&lt;&gt;"",NOT(ISNUMBER(H495)))),"Precio no es número",IF(N(G495)+N(H495)&lt;=0,"Falta precio","✓ OK")))))))))))</f>
        <v/>
      </c>
      <c r="M495" t="str">
        <f>IF(N495&lt;&gt;"W","",IF(TRIM(C495)&lt;&gt;"",TRIM(C495),IFERROR(LOOKUP(2,1/(N$9:N495="T"),D$9:D495),"")))</f>
        <v/>
      </c>
      <c r="N495" t="str">
        <f t="shared" si="23"/>
        <v/>
      </c>
      <c r="O495" t="str">
        <f>IF(M495="","",IF(COUNTIF(M$9:M495,M495)=1,MAX(O$8:O494)+1,""))</f>
        <v/>
      </c>
    </row>
    <row r="496" spans="1:15" x14ac:dyDescent="0.75">
      <c r="A496" s="24" t="str">
        <f>IF(N496="W",COUNTIF(N$9:N496,"W"),"")</f>
        <v/>
      </c>
      <c r="B496" s="25"/>
      <c r="C496" s="25"/>
      <c r="D496" s="26"/>
      <c r="E496" s="25"/>
      <c r="F496" s="27"/>
      <c r="G496" s="28"/>
      <c r="H496" s="28"/>
      <c r="I496" s="29" t="str">
        <f t="shared" si="21"/>
        <v/>
      </c>
      <c r="J496" s="30" t="str">
        <f t="shared" si="22"/>
        <v/>
      </c>
      <c r="K496" s="26"/>
      <c r="L496" s="24" t="str">
        <f>IF(N496="","",IF(N496="T","Título de capítulo",IF(OR(ISERROR(F496),ISERROR(G496),ISERROR(H496)),"Error en fórmula: pegá como valores",IF(AND(B496="",$C$6=""),"Falta sector",IF(M496="","Falta capítulo",IF(TRIM(E496)="","Falta unidad",IF(NOT((COUNTIF(Listas!$A$2:$A$40,E496)+COUNTIF(Listas!$D$2:$D$60,E496)&gt;0)),"Unidad no reconocida",IF(AND(F496&lt;&gt;"",NOT(ISNUMBER(F496))),"Cantidad no es número",IF(N(F496)&lt;=0,"Falta cantidad",IF(OR(AND(G496&lt;&gt;"",NOT(ISNUMBER(G496))),AND(H496&lt;&gt;"",NOT(ISNUMBER(H496)))),"Precio no es número",IF(N(G496)+N(H496)&lt;=0,"Falta precio","✓ OK")))))))))))</f>
        <v/>
      </c>
      <c r="M496" t="str">
        <f>IF(N496&lt;&gt;"W","",IF(TRIM(C496)&lt;&gt;"",TRIM(C496),IFERROR(LOOKUP(2,1/(N$9:N496="T"),D$9:D496),"")))</f>
        <v/>
      </c>
      <c r="N496" t="str">
        <f t="shared" si="23"/>
        <v/>
      </c>
      <c r="O496" t="str">
        <f>IF(M496="","",IF(COUNTIF(M$9:M496,M496)=1,MAX(O$8:O495)+1,""))</f>
        <v/>
      </c>
    </row>
    <row r="497" spans="1:15" x14ac:dyDescent="0.75">
      <c r="A497" s="24" t="str">
        <f>IF(N497="W",COUNTIF(N$9:N497,"W"),"")</f>
        <v/>
      </c>
      <c r="B497" s="25"/>
      <c r="C497" s="25"/>
      <c r="D497" s="26"/>
      <c r="E497" s="25"/>
      <c r="F497" s="27"/>
      <c r="G497" s="28"/>
      <c r="H497" s="28"/>
      <c r="I497" s="29" t="str">
        <f t="shared" si="21"/>
        <v/>
      </c>
      <c r="J497" s="30" t="str">
        <f t="shared" si="22"/>
        <v/>
      </c>
      <c r="K497" s="26"/>
      <c r="L497" s="24" t="str">
        <f>IF(N497="","",IF(N497="T","Título de capítulo",IF(OR(ISERROR(F497),ISERROR(G497),ISERROR(H497)),"Error en fórmula: pegá como valores",IF(AND(B497="",$C$6=""),"Falta sector",IF(M497="","Falta capítulo",IF(TRIM(E497)="","Falta unidad",IF(NOT((COUNTIF(Listas!$A$2:$A$40,E497)+COUNTIF(Listas!$D$2:$D$60,E497)&gt;0)),"Unidad no reconocida",IF(AND(F497&lt;&gt;"",NOT(ISNUMBER(F497))),"Cantidad no es número",IF(N(F497)&lt;=0,"Falta cantidad",IF(OR(AND(G497&lt;&gt;"",NOT(ISNUMBER(G497))),AND(H497&lt;&gt;"",NOT(ISNUMBER(H497)))),"Precio no es número",IF(N(G497)+N(H497)&lt;=0,"Falta precio","✓ OK")))))))))))</f>
        <v/>
      </c>
      <c r="M497" t="str">
        <f>IF(N497&lt;&gt;"W","",IF(TRIM(C497)&lt;&gt;"",TRIM(C497),IFERROR(LOOKUP(2,1/(N$9:N497="T"),D$9:D497),"")))</f>
        <v/>
      </c>
      <c r="N497" t="str">
        <f t="shared" si="23"/>
        <v/>
      </c>
      <c r="O497" t="str">
        <f>IF(M497="","",IF(COUNTIF(M$9:M497,M497)=1,MAX(O$8:O496)+1,""))</f>
        <v/>
      </c>
    </row>
    <row r="498" spans="1:15" x14ac:dyDescent="0.75">
      <c r="A498" s="24" t="str">
        <f>IF(N498="W",COUNTIF(N$9:N498,"W"),"")</f>
        <v/>
      </c>
      <c r="B498" s="25"/>
      <c r="C498" s="25"/>
      <c r="D498" s="26"/>
      <c r="E498" s="25"/>
      <c r="F498" s="27"/>
      <c r="G498" s="28"/>
      <c r="H498" s="28"/>
      <c r="I498" s="29" t="str">
        <f t="shared" si="21"/>
        <v/>
      </c>
      <c r="J498" s="30" t="str">
        <f t="shared" si="22"/>
        <v/>
      </c>
      <c r="K498" s="26"/>
      <c r="L498" s="24" t="str">
        <f>IF(N498="","",IF(N498="T","Título de capítulo",IF(OR(ISERROR(F498),ISERROR(G498),ISERROR(H498)),"Error en fórmula: pegá como valores",IF(AND(B498="",$C$6=""),"Falta sector",IF(M498="","Falta capítulo",IF(TRIM(E498)="","Falta unidad",IF(NOT((COUNTIF(Listas!$A$2:$A$40,E498)+COUNTIF(Listas!$D$2:$D$60,E498)&gt;0)),"Unidad no reconocida",IF(AND(F498&lt;&gt;"",NOT(ISNUMBER(F498))),"Cantidad no es número",IF(N(F498)&lt;=0,"Falta cantidad",IF(OR(AND(G498&lt;&gt;"",NOT(ISNUMBER(G498))),AND(H498&lt;&gt;"",NOT(ISNUMBER(H498)))),"Precio no es número",IF(N(G498)+N(H498)&lt;=0,"Falta precio","✓ OK")))))))))))</f>
        <v/>
      </c>
      <c r="M498" t="str">
        <f>IF(N498&lt;&gt;"W","",IF(TRIM(C498)&lt;&gt;"",TRIM(C498),IFERROR(LOOKUP(2,1/(N$9:N498="T"),D$9:D498),"")))</f>
        <v/>
      </c>
      <c r="N498" t="str">
        <f t="shared" si="23"/>
        <v/>
      </c>
      <c r="O498" t="str">
        <f>IF(M498="","",IF(COUNTIF(M$9:M498,M498)=1,MAX(O$8:O497)+1,""))</f>
        <v/>
      </c>
    </row>
    <row r="499" spans="1:15" x14ac:dyDescent="0.75">
      <c r="A499" s="24" t="str">
        <f>IF(N499="W",COUNTIF(N$9:N499,"W"),"")</f>
        <v/>
      </c>
      <c r="B499" s="25"/>
      <c r="C499" s="25"/>
      <c r="D499" s="26"/>
      <c r="E499" s="25"/>
      <c r="F499" s="27"/>
      <c r="G499" s="28"/>
      <c r="H499" s="28"/>
      <c r="I499" s="29" t="str">
        <f t="shared" si="21"/>
        <v/>
      </c>
      <c r="J499" s="30" t="str">
        <f t="shared" si="22"/>
        <v/>
      </c>
      <c r="K499" s="26"/>
      <c r="L499" s="24" t="str">
        <f>IF(N499="","",IF(N499="T","Título de capítulo",IF(OR(ISERROR(F499),ISERROR(G499),ISERROR(H499)),"Error en fórmula: pegá como valores",IF(AND(B499="",$C$6=""),"Falta sector",IF(M499="","Falta capítulo",IF(TRIM(E499)="","Falta unidad",IF(NOT((COUNTIF(Listas!$A$2:$A$40,E499)+COUNTIF(Listas!$D$2:$D$60,E499)&gt;0)),"Unidad no reconocida",IF(AND(F499&lt;&gt;"",NOT(ISNUMBER(F499))),"Cantidad no es número",IF(N(F499)&lt;=0,"Falta cantidad",IF(OR(AND(G499&lt;&gt;"",NOT(ISNUMBER(G499))),AND(H499&lt;&gt;"",NOT(ISNUMBER(H499)))),"Precio no es número",IF(N(G499)+N(H499)&lt;=0,"Falta precio","✓ OK")))))))))))</f>
        <v/>
      </c>
      <c r="M499" t="str">
        <f>IF(N499&lt;&gt;"W","",IF(TRIM(C499)&lt;&gt;"",TRIM(C499),IFERROR(LOOKUP(2,1/(N$9:N499="T"),D$9:D499),"")))</f>
        <v/>
      </c>
      <c r="N499" t="str">
        <f t="shared" si="23"/>
        <v/>
      </c>
      <c r="O499" t="str">
        <f>IF(M499="","",IF(COUNTIF(M$9:M499,M499)=1,MAX(O$8:O498)+1,""))</f>
        <v/>
      </c>
    </row>
    <row r="500" spans="1:15" x14ac:dyDescent="0.75">
      <c r="A500" s="24" t="str">
        <f>IF(N500="W",COUNTIF(N$9:N500,"W"),"")</f>
        <v/>
      </c>
      <c r="B500" s="25"/>
      <c r="C500" s="25"/>
      <c r="D500" s="26"/>
      <c r="E500" s="25"/>
      <c r="F500" s="27"/>
      <c r="G500" s="28"/>
      <c r="H500" s="28"/>
      <c r="I500" s="29" t="str">
        <f t="shared" si="21"/>
        <v/>
      </c>
      <c r="J500" s="30" t="str">
        <f t="shared" si="22"/>
        <v/>
      </c>
      <c r="K500" s="26"/>
      <c r="L500" s="24" t="str">
        <f>IF(N500="","",IF(N500="T","Título de capítulo",IF(OR(ISERROR(F500),ISERROR(G500),ISERROR(H500)),"Error en fórmula: pegá como valores",IF(AND(B500="",$C$6=""),"Falta sector",IF(M500="","Falta capítulo",IF(TRIM(E500)="","Falta unidad",IF(NOT((COUNTIF(Listas!$A$2:$A$40,E500)+COUNTIF(Listas!$D$2:$D$60,E500)&gt;0)),"Unidad no reconocida",IF(AND(F500&lt;&gt;"",NOT(ISNUMBER(F500))),"Cantidad no es número",IF(N(F500)&lt;=0,"Falta cantidad",IF(OR(AND(G500&lt;&gt;"",NOT(ISNUMBER(G500))),AND(H500&lt;&gt;"",NOT(ISNUMBER(H500)))),"Precio no es número",IF(N(G500)+N(H500)&lt;=0,"Falta precio","✓ OK")))))))))))</f>
        <v/>
      </c>
      <c r="M500" t="str">
        <f>IF(N500&lt;&gt;"W","",IF(TRIM(C500)&lt;&gt;"",TRIM(C500),IFERROR(LOOKUP(2,1/(N$9:N500="T"),D$9:D500),"")))</f>
        <v/>
      </c>
      <c r="N500" t="str">
        <f t="shared" si="23"/>
        <v/>
      </c>
      <c r="O500" t="str">
        <f>IF(M500="","",IF(COUNTIF(M$9:M500,M500)=1,MAX(O$8:O499)+1,""))</f>
        <v/>
      </c>
    </row>
    <row r="501" spans="1:15" x14ac:dyDescent="0.75">
      <c r="A501" s="24" t="str">
        <f>IF(N501="W",COUNTIF(N$9:N501,"W"),"")</f>
        <v/>
      </c>
      <c r="B501" s="25"/>
      <c r="C501" s="25"/>
      <c r="D501" s="26"/>
      <c r="E501" s="25"/>
      <c r="F501" s="27"/>
      <c r="G501" s="28"/>
      <c r="H501" s="28"/>
      <c r="I501" s="29" t="str">
        <f t="shared" si="21"/>
        <v/>
      </c>
      <c r="J501" s="30" t="str">
        <f t="shared" si="22"/>
        <v/>
      </c>
      <c r="K501" s="26"/>
      <c r="L501" s="24" t="str">
        <f>IF(N501="","",IF(N501="T","Título de capítulo",IF(OR(ISERROR(F501),ISERROR(G501),ISERROR(H501)),"Error en fórmula: pegá como valores",IF(AND(B501="",$C$6=""),"Falta sector",IF(M501="","Falta capítulo",IF(TRIM(E501)="","Falta unidad",IF(NOT((COUNTIF(Listas!$A$2:$A$40,E501)+COUNTIF(Listas!$D$2:$D$60,E501)&gt;0)),"Unidad no reconocida",IF(AND(F501&lt;&gt;"",NOT(ISNUMBER(F501))),"Cantidad no es número",IF(N(F501)&lt;=0,"Falta cantidad",IF(OR(AND(G501&lt;&gt;"",NOT(ISNUMBER(G501))),AND(H501&lt;&gt;"",NOT(ISNUMBER(H501)))),"Precio no es número",IF(N(G501)+N(H501)&lt;=0,"Falta precio","✓ OK")))))))))))</f>
        <v/>
      </c>
      <c r="M501" t="str">
        <f>IF(N501&lt;&gt;"W","",IF(TRIM(C501)&lt;&gt;"",TRIM(C501),IFERROR(LOOKUP(2,1/(N$9:N501="T"),D$9:D501),"")))</f>
        <v/>
      </c>
      <c r="N501" t="str">
        <f t="shared" si="23"/>
        <v/>
      </c>
      <c r="O501" t="str">
        <f>IF(M501="","",IF(COUNTIF(M$9:M501,M501)=1,MAX(O$8:O500)+1,""))</f>
        <v/>
      </c>
    </row>
    <row r="502" spans="1:15" x14ac:dyDescent="0.75">
      <c r="A502" s="24" t="str">
        <f>IF(N502="W",COUNTIF(N$9:N502,"W"),"")</f>
        <v/>
      </c>
      <c r="B502" s="25"/>
      <c r="C502" s="25"/>
      <c r="D502" s="26"/>
      <c r="E502" s="25"/>
      <c r="F502" s="27"/>
      <c r="G502" s="28"/>
      <c r="H502" s="28"/>
      <c r="I502" s="29" t="str">
        <f t="shared" si="21"/>
        <v/>
      </c>
      <c r="J502" s="30" t="str">
        <f t="shared" si="22"/>
        <v/>
      </c>
      <c r="K502" s="26"/>
      <c r="L502" s="24" t="str">
        <f>IF(N502="","",IF(N502="T","Título de capítulo",IF(OR(ISERROR(F502),ISERROR(G502),ISERROR(H502)),"Error en fórmula: pegá como valores",IF(AND(B502="",$C$6=""),"Falta sector",IF(M502="","Falta capítulo",IF(TRIM(E502)="","Falta unidad",IF(NOT((COUNTIF(Listas!$A$2:$A$40,E502)+COUNTIF(Listas!$D$2:$D$60,E502)&gt;0)),"Unidad no reconocida",IF(AND(F502&lt;&gt;"",NOT(ISNUMBER(F502))),"Cantidad no es número",IF(N(F502)&lt;=0,"Falta cantidad",IF(OR(AND(G502&lt;&gt;"",NOT(ISNUMBER(G502))),AND(H502&lt;&gt;"",NOT(ISNUMBER(H502)))),"Precio no es número",IF(N(G502)+N(H502)&lt;=0,"Falta precio","✓ OK")))))))))))</f>
        <v/>
      </c>
      <c r="M502" t="str">
        <f>IF(N502&lt;&gt;"W","",IF(TRIM(C502)&lt;&gt;"",TRIM(C502),IFERROR(LOOKUP(2,1/(N$9:N502="T"),D$9:D502),"")))</f>
        <v/>
      </c>
      <c r="N502" t="str">
        <f t="shared" si="23"/>
        <v/>
      </c>
      <c r="O502" t="str">
        <f>IF(M502="","",IF(COUNTIF(M$9:M502,M502)=1,MAX(O$8:O501)+1,""))</f>
        <v/>
      </c>
    </row>
    <row r="503" spans="1:15" x14ac:dyDescent="0.75">
      <c r="A503" s="24" t="str">
        <f>IF(N503="W",COUNTIF(N$9:N503,"W"),"")</f>
        <v/>
      </c>
      <c r="B503" s="25"/>
      <c r="C503" s="25"/>
      <c r="D503" s="26"/>
      <c r="E503" s="25"/>
      <c r="F503" s="27"/>
      <c r="G503" s="28"/>
      <c r="H503" s="28"/>
      <c r="I503" s="29" t="str">
        <f t="shared" si="21"/>
        <v/>
      </c>
      <c r="J503" s="30" t="str">
        <f t="shared" si="22"/>
        <v/>
      </c>
      <c r="K503" s="26"/>
      <c r="L503" s="24" t="str">
        <f>IF(N503="","",IF(N503="T","Título de capítulo",IF(OR(ISERROR(F503),ISERROR(G503),ISERROR(H503)),"Error en fórmula: pegá como valores",IF(AND(B503="",$C$6=""),"Falta sector",IF(M503="","Falta capítulo",IF(TRIM(E503)="","Falta unidad",IF(NOT((COUNTIF(Listas!$A$2:$A$40,E503)+COUNTIF(Listas!$D$2:$D$60,E503)&gt;0)),"Unidad no reconocida",IF(AND(F503&lt;&gt;"",NOT(ISNUMBER(F503))),"Cantidad no es número",IF(N(F503)&lt;=0,"Falta cantidad",IF(OR(AND(G503&lt;&gt;"",NOT(ISNUMBER(G503))),AND(H503&lt;&gt;"",NOT(ISNUMBER(H503)))),"Precio no es número",IF(N(G503)+N(H503)&lt;=0,"Falta precio","✓ OK")))))))))))</f>
        <v/>
      </c>
      <c r="M503" t="str">
        <f>IF(N503&lt;&gt;"W","",IF(TRIM(C503)&lt;&gt;"",TRIM(C503),IFERROR(LOOKUP(2,1/(N$9:N503="T"),D$9:D503),"")))</f>
        <v/>
      </c>
      <c r="N503" t="str">
        <f t="shared" si="23"/>
        <v/>
      </c>
      <c r="O503" t="str">
        <f>IF(M503="","",IF(COUNTIF(M$9:M503,M503)=1,MAX(O$8:O502)+1,""))</f>
        <v/>
      </c>
    </row>
    <row r="504" spans="1:15" x14ac:dyDescent="0.75">
      <c r="A504" s="24" t="str">
        <f>IF(N504="W",COUNTIF(N$9:N504,"W"),"")</f>
        <v/>
      </c>
      <c r="B504" s="25"/>
      <c r="C504" s="25"/>
      <c r="D504" s="26"/>
      <c r="E504" s="25"/>
      <c r="F504" s="27"/>
      <c r="G504" s="28"/>
      <c r="H504" s="28"/>
      <c r="I504" s="29" t="str">
        <f t="shared" si="21"/>
        <v/>
      </c>
      <c r="J504" s="30" t="str">
        <f t="shared" si="22"/>
        <v/>
      </c>
      <c r="K504" s="26"/>
      <c r="L504" s="24" t="str">
        <f>IF(N504="","",IF(N504="T","Título de capítulo",IF(OR(ISERROR(F504),ISERROR(G504),ISERROR(H504)),"Error en fórmula: pegá como valores",IF(AND(B504="",$C$6=""),"Falta sector",IF(M504="","Falta capítulo",IF(TRIM(E504)="","Falta unidad",IF(NOT((COUNTIF(Listas!$A$2:$A$40,E504)+COUNTIF(Listas!$D$2:$D$60,E504)&gt;0)),"Unidad no reconocida",IF(AND(F504&lt;&gt;"",NOT(ISNUMBER(F504))),"Cantidad no es número",IF(N(F504)&lt;=0,"Falta cantidad",IF(OR(AND(G504&lt;&gt;"",NOT(ISNUMBER(G504))),AND(H504&lt;&gt;"",NOT(ISNUMBER(H504)))),"Precio no es número",IF(N(G504)+N(H504)&lt;=0,"Falta precio","✓ OK")))))))))))</f>
        <v/>
      </c>
      <c r="M504" t="str">
        <f>IF(N504&lt;&gt;"W","",IF(TRIM(C504)&lt;&gt;"",TRIM(C504),IFERROR(LOOKUP(2,1/(N$9:N504="T"),D$9:D504),"")))</f>
        <v/>
      </c>
      <c r="N504" t="str">
        <f t="shared" si="23"/>
        <v/>
      </c>
      <c r="O504" t="str">
        <f>IF(M504="","",IF(COUNTIF(M$9:M504,M504)=1,MAX(O$8:O503)+1,""))</f>
        <v/>
      </c>
    </row>
    <row r="505" spans="1:15" x14ac:dyDescent="0.75">
      <c r="A505" s="24" t="str">
        <f>IF(N505="W",COUNTIF(N$9:N505,"W"),"")</f>
        <v/>
      </c>
      <c r="B505" s="25"/>
      <c r="C505" s="25"/>
      <c r="D505" s="26"/>
      <c r="E505" s="25"/>
      <c r="F505" s="27"/>
      <c r="G505" s="28"/>
      <c r="H505" s="28"/>
      <c r="I505" s="29" t="str">
        <f t="shared" si="21"/>
        <v/>
      </c>
      <c r="J505" s="30" t="str">
        <f t="shared" si="22"/>
        <v/>
      </c>
      <c r="K505" s="26"/>
      <c r="L505" s="24" t="str">
        <f>IF(N505="","",IF(N505="T","Título de capítulo",IF(OR(ISERROR(F505),ISERROR(G505),ISERROR(H505)),"Error en fórmula: pegá como valores",IF(AND(B505="",$C$6=""),"Falta sector",IF(M505="","Falta capítulo",IF(TRIM(E505)="","Falta unidad",IF(NOT((COUNTIF(Listas!$A$2:$A$40,E505)+COUNTIF(Listas!$D$2:$D$60,E505)&gt;0)),"Unidad no reconocida",IF(AND(F505&lt;&gt;"",NOT(ISNUMBER(F505))),"Cantidad no es número",IF(N(F505)&lt;=0,"Falta cantidad",IF(OR(AND(G505&lt;&gt;"",NOT(ISNUMBER(G505))),AND(H505&lt;&gt;"",NOT(ISNUMBER(H505)))),"Precio no es número",IF(N(G505)+N(H505)&lt;=0,"Falta precio","✓ OK")))))))))))</f>
        <v/>
      </c>
      <c r="M505" t="str">
        <f>IF(N505&lt;&gt;"W","",IF(TRIM(C505)&lt;&gt;"",TRIM(C505),IFERROR(LOOKUP(2,1/(N$9:N505="T"),D$9:D505),"")))</f>
        <v/>
      </c>
      <c r="N505" t="str">
        <f t="shared" si="23"/>
        <v/>
      </c>
      <c r="O505" t="str">
        <f>IF(M505="","",IF(COUNTIF(M$9:M505,M505)=1,MAX(O$8:O504)+1,""))</f>
        <v/>
      </c>
    </row>
    <row r="506" spans="1:15" x14ac:dyDescent="0.75">
      <c r="A506" s="24" t="str">
        <f>IF(N506="W",COUNTIF(N$9:N506,"W"),"")</f>
        <v/>
      </c>
      <c r="B506" s="25"/>
      <c r="C506" s="25"/>
      <c r="D506" s="26"/>
      <c r="E506" s="25"/>
      <c r="F506" s="27"/>
      <c r="G506" s="28"/>
      <c r="H506" s="28"/>
      <c r="I506" s="29" t="str">
        <f t="shared" si="21"/>
        <v/>
      </c>
      <c r="J506" s="30" t="str">
        <f t="shared" si="22"/>
        <v/>
      </c>
      <c r="K506" s="26"/>
      <c r="L506" s="24" t="str">
        <f>IF(N506="","",IF(N506="T","Título de capítulo",IF(OR(ISERROR(F506),ISERROR(G506),ISERROR(H506)),"Error en fórmula: pegá como valores",IF(AND(B506="",$C$6=""),"Falta sector",IF(M506="","Falta capítulo",IF(TRIM(E506)="","Falta unidad",IF(NOT((COUNTIF(Listas!$A$2:$A$40,E506)+COUNTIF(Listas!$D$2:$D$60,E506)&gt;0)),"Unidad no reconocida",IF(AND(F506&lt;&gt;"",NOT(ISNUMBER(F506))),"Cantidad no es número",IF(N(F506)&lt;=0,"Falta cantidad",IF(OR(AND(G506&lt;&gt;"",NOT(ISNUMBER(G506))),AND(H506&lt;&gt;"",NOT(ISNUMBER(H506)))),"Precio no es número",IF(N(G506)+N(H506)&lt;=0,"Falta precio","✓ OK")))))))))))</f>
        <v/>
      </c>
      <c r="M506" t="str">
        <f>IF(N506&lt;&gt;"W","",IF(TRIM(C506)&lt;&gt;"",TRIM(C506),IFERROR(LOOKUP(2,1/(N$9:N506="T"),D$9:D506),"")))</f>
        <v/>
      </c>
      <c r="N506" t="str">
        <f t="shared" si="23"/>
        <v/>
      </c>
      <c r="O506" t="str">
        <f>IF(M506="","",IF(COUNTIF(M$9:M506,M506)=1,MAX(O$8:O505)+1,""))</f>
        <v/>
      </c>
    </row>
    <row r="507" spans="1:15" x14ac:dyDescent="0.75">
      <c r="A507" s="24" t="str">
        <f>IF(N507="W",COUNTIF(N$9:N507,"W"),"")</f>
        <v/>
      </c>
      <c r="B507" s="25"/>
      <c r="C507" s="25"/>
      <c r="D507" s="26"/>
      <c r="E507" s="25"/>
      <c r="F507" s="27"/>
      <c r="G507" s="28"/>
      <c r="H507" s="28"/>
      <c r="I507" s="29" t="str">
        <f t="shared" si="21"/>
        <v/>
      </c>
      <c r="J507" s="30" t="str">
        <f t="shared" si="22"/>
        <v/>
      </c>
      <c r="K507" s="26"/>
      <c r="L507" s="24" t="str">
        <f>IF(N507="","",IF(N507="T","Título de capítulo",IF(OR(ISERROR(F507),ISERROR(G507),ISERROR(H507)),"Error en fórmula: pegá como valores",IF(AND(B507="",$C$6=""),"Falta sector",IF(M507="","Falta capítulo",IF(TRIM(E507)="","Falta unidad",IF(NOT((COUNTIF(Listas!$A$2:$A$40,E507)+COUNTIF(Listas!$D$2:$D$60,E507)&gt;0)),"Unidad no reconocida",IF(AND(F507&lt;&gt;"",NOT(ISNUMBER(F507))),"Cantidad no es número",IF(N(F507)&lt;=0,"Falta cantidad",IF(OR(AND(G507&lt;&gt;"",NOT(ISNUMBER(G507))),AND(H507&lt;&gt;"",NOT(ISNUMBER(H507)))),"Precio no es número",IF(N(G507)+N(H507)&lt;=0,"Falta precio","✓ OK")))))))))))</f>
        <v/>
      </c>
      <c r="M507" t="str">
        <f>IF(N507&lt;&gt;"W","",IF(TRIM(C507)&lt;&gt;"",TRIM(C507),IFERROR(LOOKUP(2,1/(N$9:N507="T"),D$9:D507),"")))</f>
        <v/>
      </c>
      <c r="N507" t="str">
        <f t="shared" si="23"/>
        <v/>
      </c>
      <c r="O507" t="str">
        <f>IF(M507="","",IF(COUNTIF(M$9:M507,M507)=1,MAX(O$8:O506)+1,""))</f>
        <v/>
      </c>
    </row>
    <row r="508" spans="1:15" x14ac:dyDescent="0.75">
      <c r="A508" s="24" t="str">
        <f>IF(N508="W",COUNTIF(N$9:N508,"W"),"")</f>
        <v/>
      </c>
      <c r="B508" s="25"/>
      <c r="C508" s="25"/>
      <c r="D508" s="26"/>
      <c r="E508" s="25"/>
      <c r="F508" s="27"/>
      <c r="G508" s="28"/>
      <c r="H508" s="28"/>
      <c r="I508" s="29" t="str">
        <f t="shared" si="21"/>
        <v/>
      </c>
      <c r="J508" s="30" t="str">
        <f t="shared" si="22"/>
        <v/>
      </c>
      <c r="K508" s="26"/>
      <c r="L508" s="24" t="str">
        <f>IF(N508="","",IF(N508="T","Título de capítulo",IF(OR(ISERROR(F508),ISERROR(G508),ISERROR(H508)),"Error en fórmula: pegá como valores",IF(AND(B508="",$C$6=""),"Falta sector",IF(M508="","Falta capítulo",IF(TRIM(E508)="","Falta unidad",IF(NOT((COUNTIF(Listas!$A$2:$A$40,E508)+COUNTIF(Listas!$D$2:$D$60,E508)&gt;0)),"Unidad no reconocida",IF(AND(F508&lt;&gt;"",NOT(ISNUMBER(F508))),"Cantidad no es número",IF(N(F508)&lt;=0,"Falta cantidad",IF(OR(AND(G508&lt;&gt;"",NOT(ISNUMBER(G508))),AND(H508&lt;&gt;"",NOT(ISNUMBER(H508)))),"Precio no es número",IF(N(G508)+N(H508)&lt;=0,"Falta precio","✓ OK")))))))))))</f>
        <v/>
      </c>
      <c r="M508" t="str">
        <f>IF(N508&lt;&gt;"W","",IF(TRIM(C508)&lt;&gt;"",TRIM(C508),IFERROR(LOOKUP(2,1/(N$9:N508="T"),D$9:D508),"")))</f>
        <v/>
      </c>
      <c r="N508" t="str">
        <f t="shared" si="23"/>
        <v/>
      </c>
      <c r="O508" t="str">
        <f>IF(M508="","",IF(COUNTIF(M$9:M508,M508)=1,MAX(O$8:O507)+1,""))</f>
        <v/>
      </c>
    </row>
    <row r="509" spans="1:15" x14ac:dyDescent="0.75">
      <c r="A509" s="24" t="str">
        <f>IF(N509="W",COUNTIF(N$9:N509,"W"),"")</f>
        <v/>
      </c>
      <c r="B509" s="25"/>
      <c r="C509" s="25"/>
      <c r="D509" s="26"/>
      <c r="E509" s="25"/>
      <c r="F509" s="27"/>
      <c r="G509" s="28"/>
      <c r="H509" s="28"/>
      <c r="I509" s="29" t="str">
        <f t="shared" si="21"/>
        <v/>
      </c>
      <c r="J509" s="30" t="str">
        <f t="shared" si="22"/>
        <v/>
      </c>
      <c r="K509" s="26"/>
      <c r="L509" s="24" t="str">
        <f>IF(N509="","",IF(N509="T","Título de capítulo",IF(OR(ISERROR(F509),ISERROR(G509),ISERROR(H509)),"Error en fórmula: pegá como valores",IF(AND(B509="",$C$6=""),"Falta sector",IF(M509="","Falta capítulo",IF(TRIM(E509)="","Falta unidad",IF(NOT((COUNTIF(Listas!$A$2:$A$40,E509)+COUNTIF(Listas!$D$2:$D$60,E509)&gt;0)),"Unidad no reconocida",IF(AND(F509&lt;&gt;"",NOT(ISNUMBER(F509))),"Cantidad no es número",IF(N(F509)&lt;=0,"Falta cantidad",IF(OR(AND(G509&lt;&gt;"",NOT(ISNUMBER(G509))),AND(H509&lt;&gt;"",NOT(ISNUMBER(H509)))),"Precio no es número",IF(N(G509)+N(H509)&lt;=0,"Falta precio","✓ OK")))))))))))</f>
        <v/>
      </c>
      <c r="M509" t="str">
        <f>IF(N509&lt;&gt;"W","",IF(TRIM(C509)&lt;&gt;"",TRIM(C509),IFERROR(LOOKUP(2,1/(N$9:N509="T"),D$9:D509),"")))</f>
        <v/>
      </c>
      <c r="N509" t="str">
        <f t="shared" si="23"/>
        <v/>
      </c>
      <c r="O509" t="str">
        <f>IF(M509="","",IF(COUNTIF(M$9:M509,M509)=1,MAX(O$8:O508)+1,""))</f>
        <v/>
      </c>
    </row>
    <row r="510" spans="1:15" x14ac:dyDescent="0.75">
      <c r="A510" s="24" t="str">
        <f>IF(N510="W",COUNTIF(N$9:N510,"W"),"")</f>
        <v/>
      </c>
      <c r="B510" s="25"/>
      <c r="C510" s="25"/>
      <c r="D510" s="26"/>
      <c r="E510" s="25"/>
      <c r="F510" s="27"/>
      <c r="G510" s="28"/>
      <c r="H510" s="28"/>
      <c r="I510" s="29" t="str">
        <f t="shared" si="21"/>
        <v/>
      </c>
      <c r="J510" s="30" t="str">
        <f t="shared" si="22"/>
        <v/>
      </c>
      <c r="K510" s="26"/>
      <c r="L510" s="24" t="str">
        <f>IF(N510="","",IF(N510="T","Título de capítulo",IF(OR(ISERROR(F510),ISERROR(G510),ISERROR(H510)),"Error en fórmula: pegá como valores",IF(AND(B510="",$C$6=""),"Falta sector",IF(M510="","Falta capítulo",IF(TRIM(E510)="","Falta unidad",IF(NOT((COUNTIF(Listas!$A$2:$A$40,E510)+COUNTIF(Listas!$D$2:$D$60,E510)&gt;0)),"Unidad no reconocida",IF(AND(F510&lt;&gt;"",NOT(ISNUMBER(F510))),"Cantidad no es número",IF(N(F510)&lt;=0,"Falta cantidad",IF(OR(AND(G510&lt;&gt;"",NOT(ISNUMBER(G510))),AND(H510&lt;&gt;"",NOT(ISNUMBER(H510)))),"Precio no es número",IF(N(G510)+N(H510)&lt;=0,"Falta precio","✓ OK")))))))))))</f>
        <v/>
      </c>
      <c r="M510" t="str">
        <f>IF(N510&lt;&gt;"W","",IF(TRIM(C510)&lt;&gt;"",TRIM(C510),IFERROR(LOOKUP(2,1/(N$9:N510="T"),D$9:D510),"")))</f>
        <v/>
      </c>
      <c r="N510" t="str">
        <f t="shared" si="23"/>
        <v/>
      </c>
      <c r="O510" t="str">
        <f>IF(M510="","",IF(COUNTIF(M$9:M510,M510)=1,MAX(O$8:O509)+1,""))</f>
        <v/>
      </c>
    </row>
    <row r="511" spans="1:15" x14ac:dyDescent="0.75">
      <c r="A511" s="24" t="str">
        <f>IF(N511="W",COUNTIF(N$9:N511,"W"),"")</f>
        <v/>
      </c>
      <c r="B511" s="25"/>
      <c r="C511" s="25"/>
      <c r="D511" s="26"/>
      <c r="E511" s="25"/>
      <c r="F511" s="27"/>
      <c r="G511" s="28"/>
      <c r="H511" s="28"/>
      <c r="I511" s="29" t="str">
        <f t="shared" si="21"/>
        <v/>
      </c>
      <c r="J511" s="30" t="str">
        <f t="shared" si="22"/>
        <v/>
      </c>
      <c r="K511" s="26"/>
      <c r="L511" s="24" t="str">
        <f>IF(N511="","",IF(N511="T","Título de capítulo",IF(OR(ISERROR(F511),ISERROR(G511),ISERROR(H511)),"Error en fórmula: pegá como valores",IF(AND(B511="",$C$6=""),"Falta sector",IF(M511="","Falta capítulo",IF(TRIM(E511)="","Falta unidad",IF(NOT((COUNTIF(Listas!$A$2:$A$40,E511)+COUNTIF(Listas!$D$2:$D$60,E511)&gt;0)),"Unidad no reconocida",IF(AND(F511&lt;&gt;"",NOT(ISNUMBER(F511))),"Cantidad no es número",IF(N(F511)&lt;=0,"Falta cantidad",IF(OR(AND(G511&lt;&gt;"",NOT(ISNUMBER(G511))),AND(H511&lt;&gt;"",NOT(ISNUMBER(H511)))),"Precio no es número",IF(N(G511)+N(H511)&lt;=0,"Falta precio","✓ OK")))))))))))</f>
        <v/>
      </c>
      <c r="M511" t="str">
        <f>IF(N511&lt;&gt;"W","",IF(TRIM(C511)&lt;&gt;"",TRIM(C511),IFERROR(LOOKUP(2,1/(N$9:N511="T"),D$9:D511),"")))</f>
        <v/>
      </c>
      <c r="N511" t="str">
        <f t="shared" si="23"/>
        <v/>
      </c>
      <c r="O511" t="str">
        <f>IF(M511="","",IF(COUNTIF(M$9:M511,M511)=1,MAX(O$8:O510)+1,""))</f>
        <v/>
      </c>
    </row>
    <row r="512" spans="1:15" x14ac:dyDescent="0.75">
      <c r="A512" s="24" t="str">
        <f>IF(N512="W",COUNTIF(N$9:N512,"W"),"")</f>
        <v/>
      </c>
      <c r="B512" s="25"/>
      <c r="C512" s="25"/>
      <c r="D512" s="26"/>
      <c r="E512" s="25"/>
      <c r="F512" s="27"/>
      <c r="G512" s="28"/>
      <c r="H512" s="28"/>
      <c r="I512" s="29" t="str">
        <f t="shared" si="21"/>
        <v/>
      </c>
      <c r="J512" s="30" t="str">
        <f t="shared" si="22"/>
        <v/>
      </c>
      <c r="K512" s="26"/>
      <c r="L512" s="24" t="str">
        <f>IF(N512="","",IF(N512="T","Título de capítulo",IF(OR(ISERROR(F512),ISERROR(G512),ISERROR(H512)),"Error en fórmula: pegá como valores",IF(AND(B512="",$C$6=""),"Falta sector",IF(M512="","Falta capítulo",IF(TRIM(E512)="","Falta unidad",IF(NOT((COUNTIF(Listas!$A$2:$A$40,E512)+COUNTIF(Listas!$D$2:$D$60,E512)&gt;0)),"Unidad no reconocida",IF(AND(F512&lt;&gt;"",NOT(ISNUMBER(F512))),"Cantidad no es número",IF(N(F512)&lt;=0,"Falta cantidad",IF(OR(AND(G512&lt;&gt;"",NOT(ISNUMBER(G512))),AND(H512&lt;&gt;"",NOT(ISNUMBER(H512)))),"Precio no es número",IF(N(G512)+N(H512)&lt;=0,"Falta precio","✓ OK")))))))))))</f>
        <v/>
      </c>
      <c r="M512" t="str">
        <f>IF(N512&lt;&gt;"W","",IF(TRIM(C512)&lt;&gt;"",TRIM(C512),IFERROR(LOOKUP(2,1/(N$9:N512="T"),D$9:D512),"")))</f>
        <v/>
      </c>
      <c r="N512" t="str">
        <f t="shared" si="23"/>
        <v/>
      </c>
      <c r="O512" t="str">
        <f>IF(M512="","",IF(COUNTIF(M$9:M512,M512)=1,MAX(O$8:O511)+1,""))</f>
        <v/>
      </c>
    </row>
    <row r="513" spans="1:15" x14ac:dyDescent="0.75">
      <c r="A513" s="24" t="str">
        <f>IF(N513="W",COUNTIF(N$9:N513,"W"),"")</f>
        <v/>
      </c>
      <c r="B513" s="25"/>
      <c r="C513" s="25"/>
      <c r="D513" s="26"/>
      <c r="E513" s="25"/>
      <c r="F513" s="27"/>
      <c r="G513" s="28"/>
      <c r="H513" s="28"/>
      <c r="I513" s="29" t="str">
        <f t="shared" si="21"/>
        <v/>
      </c>
      <c r="J513" s="30" t="str">
        <f t="shared" si="22"/>
        <v/>
      </c>
      <c r="K513" s="26"/>
      <c r="L513" s="24" t="str">
        <f>IF(N513="","",IF(N513="T","Título de capítulo",IF(OR(ISERROR(F513),ISERROR(G513),ISERROR(H513)),"Error en fórmula: pegá como valores",IF(AND(B513="",$C$6=""),"Falta sector",IF(M513="","Falta capítulo",IF(TRIM(E513)="","Falta unidad",IF(NOT((COUNTIF(Listas!$A$2:$A$40,E513)+COUNTIF(Listas!$D$2:$D$60,E513)&gt;0)),"Unidad no reconocida",IF(AND(F513&lt;&gt;"",NOT(ISNUMBER(F513))),"Cantidad no es número",IF(N(F513)&lt;=0,"Falta cantidad",IF(OR(AND(G513&lt;&gt;"",NOT(ISNUMBER(G513))),AND(H513&lt;&gt;"",NOT(ISNUMBER(H513)))),"Precio no es número",IF(N(G513)+N(H513)&lt;=0,"Falta precio","✓ OK")))))))))))</f>
        <v/>
      </c>
      <c r="M513" t="str">
        <f>IF(N513&lt;&gt;"W","",IF(TRIM(C513)&lt;&gt;"",TRIM(C513),IFERROR(LOOKUP(2,1/(N$9:N513="T"),D$9:D513),"")))</f>
        <v/>
      </c>
      <c r="N513" t="str">
        <f t="shared" si="23"/>
        <v/>
      </c>
      <c r="O513" t="str">
        <f>IF(M513="","",IF(COUNTIF(M$9:M513,M513)=1,MAX(O$8:O512)+1,""))</f>
        <v/>
      </c>
    </row>
    <row r="514" spans="1:15" x14ac:dyDescent="0.75">
      <c r="A514" s="24" t="str">
        <f>IF(N514="W",COUNTIF(N$9:N514,"W"),"")</f>
        <v/>
      </c>
      <c r="B514" s="25"/>
      <c r="C514" s="25"/>
      <c r="D514" s="26"/>
      <c r="E514" s="25"/>
      <c r="F514" s="27"/>
      <c r="G514" s="28"/>
      <c r="H514" s="28"/>
      <c r="I514" s="29" t="str">
        <f t="shared" si="21"/>
        <v/>
      </c>
      <c r="J514" s="30" t="str">
        <f t="shared" si="22"/>
        <v/>
      </c>
      <c r="K514" s="26"/>
      <c r="L514" s="24" t="str">
        <f>IF(N514="","",IF(N514="T","Título de capítulo",IF(OR(ISERROR(F514),ISERROR(G514),ISERROR(H514)),"Error en fórmula: pegá como valores",IF(AND(B514="",$C$6=""),"Falta sector",IF(M514="","Falta capítulo",IF(TRIM(E514)="","Falta unidad",IF(NOT((COUNTIF(Listas!$A$2:$A$40,E514)+COUNTIF(Listas!$D$2:$D$60,E514)&gt;0)),"Unidad no reconocida",IF(AND(F514&lt;&gt;"",NOT(ISNUMBER(F514))),"Cantidad no es número",IF(N(F514)&lt;=0,"Falta cantidad",IF(OR(AND(G514&lt;&gt;"",NOT(ISNUMBER(G514))),AND(H514&lt;&gt;"",NOT(ISNUMBER(H514)))),"Precio no es número",IF(N(G514)+N(H514)&lt;=0,"Falta precio","✓ OK")))))))))))</f>
        <v/>
      </c>
      <c r="M514" t="str">
        <f>IF(N514&lt;&gt;"W","",IF(TRIM(C514)&lt;&gt;"",TRIM(C514),IFERROR(LOOKUP(2,1/(N$9:N514="T"),D$9:D514),"")))</f>
        <v/>
      </c>
      <c r="N514" t="str">
        <f t="shared" si="23"/>
        <v/>
      </c>
      <c r="O514" t="str">
        <f>IF(M514="","",IF(COUNTIF(M$9:M514,M514)=1,MAX(O$8:O513)+1,""))</f>
        <v/>
      </c>
    </row>
    <row r="515" spans="1:15" x14ac:dyDescent="0.75">
      <c r="A515" s="24" t="str">
        <f>IF(N515="W",COUNTIF(N$9:N515,"W"),"")</f>
        <v/>
      </c>
      <c r="B515" s="25"/>
      <c r="C515" s="25"/>
      <c r="D515" s="26"/>
      <c r="E515" s="25"/>
      <c r="F515" s="27"/>
      <c r="G515" s="28"/>
      <c r="H515" s="28"/>
      <c r="I515" s="29" t="str">
        <f t="shared" si="21"/>
        <v/>
      </c>
      <c r="J515" s="30" t="str">
        <f t="shared" si="22"/>
        <v/>
      </c>
      <c r="K515" s="26"/>
      <c r="L515" s="24" t="str">
        <f>IF(N515="","",IF(N515="T","Título de capítulo",IF(OR(ISERROR(F515),ISERROR(G515),ISERROR(H515)),"Error en fórmula: pegá como valores",IF(AND(B515="",$C$6=""),"Falta sector",IF(M515="","Falta capítulo",IF(TRIM(E515)="","Falta unidad",IF(NOT((COUNTIF(Listas!$A$2:$A$40,E515)+COUNTIF(Listas!$D$2:$D$60,E515)&gt;0)),"Unidad no reconocida",IF(AND(F515&lt;&gt;"",NOT(ISNUMBER(F515))),"Cantidad no es número",IF(N(F515)&lt;=0,"Falta cantidad",IF(OR(AND(G515&lt;&gt;"",NOT(ISNUMBER(G515))),AND(H515&lt;&gt;"",NOT(ISNUMBER(H515)))),"Precio no es número",IF(N(G515)+N(H515)&lt;=0,"Falta precio","✓ OK")))))))))))</f>
        <v/>
      </c>
      <c r="M515" t="str">
        <f>IF(N515&lt;&gt;"W","",IF(TRIM(C515)&lt;&gt;"",TRIM(C515),IFERROR(LOOKUP(2,1/(N$9:N515="T"),D$9:D515),"")))</f>
        <v/>
      </c>
      <c r="N515" t="str">
        <f t="shared" si="23"/>
        <v/>
      </c>
      <c r="O515" t="str">
        <f>IF(M515="","",IF(COUNTIF(M$9:M515,M515)=1,MAX(O$8:O514)+1,""))</f>
        <v/>
      </c>
    </row>
    <row r="516" spans="1:15" x14ac:dyDescent="0.75">
      <c r="A516" s="24" t="str">
        <f>IF(N516="W",COUNTIF(N$9:N516,"W"),"")</f>
        <v/>
      </c>
      <c r="B516" s="25"/>
      <c r="C516" s="25"/>
      <c r="D516" s="26"/>
      <c r="E516" s="25"/>
      <c r="F516" s="27"/>
      <c r="G516" s="28"/>
      <c r="H516" s="28"/>
      <c r="I516" s="29" t="str">
        <f t="shared" si="21"/>
        <v/>
      </c>
      <c r="J516" s="30" t="str">
        <f t="shared" si="22"/>
        <v/>
      </c>
      <c r="K516" s="26"/>
      <c r="L516" s="24" t="str">
        <f>IF(N516="","",IF(N516="T","Título de capítulo",IF(OR(ISERROR(F516),ISERROR(G516),ISERROR(H516)),"Error en fórmula: pegá como valores",IF(AND(B516="",$C$6=""),"Falta sector",IF(M516="","Falta capítulo",IF(TRIM(E516)="","Falta unidad",IF(NOT((COUNTIF(Listas!$A$2:$A$40,E516)+COUNTIF(Listas!$D$2:$D$60,E516)&gt;0)),"Unidad no reconocida",IF(AND(F516&lt;&gt;"",NOT(ISNUMBER(F516))),"Cantidad no es número",IF(N(F516)&lt;=0,"Falta cantidad",IF(OR(AND(G516&lt;&gt;"",NOT(ISNUMBER(G516))),AND(H516&lt;&gt;"",NOT(ISNUMBER(H516)))),"Precio no es número",IF(N(G516)+N(H516)&lt;=0,"Falta precio","✓ OK")))))))))))</f>
        <v/>
      </c>
      <c r="M516" t="str">
        <f>IF(N516&lt;&gt;"W","",IF(TRIM(C516)&lt;&gt;"",TRIM(C516),IFERROR(LOOKUP(2,1/(N$9:N516="T"),D$9:D516),"")))</f>
        <v/>
      </c>
      <c r="N516" t="str">
        <f t="shared" si="23"/>
        <v/>
      </c>
      <c r="O516" t="str">
        <f>IF(M516="","",IF(COUNTIF(M$9:M516,M516)=1,MAX(O$8:O515)+1,""))</f>
        <v/>
      </c>
    </row>
    <row r="517" spans="1:15" x14ac:dyDescent="0.75">
      <c r="A517" s="24" t="str">
        <f>IF(N517="W",COUNTIF(N$9:N517,"W"),"")</f>
        <v/>
      </c>
      <c r="B517" s="25"/>
      <c r="C517" s="25"/>
      <c r="D517" s="26"/>
      <c r="E517" s="25"/>
      <c r="F517" s="27"/>
      <c r="G517" s="28"/>
      <c r="H517" s="28"/>
      <c r="I517" s="29" t="str">
        <f t="shared" si="21"/>
        <v/>
      </c>
      <c r="J517" s="30" t="str">
        <f t="shared" si="22"/>
        <v/>
      </c>
      <c r="K517" s="26"/>
      <c r="L517" s="24" t="str">
        <f>IF(N517="","",IF(N517="T","Título de capítulo",IF(OR(ISERROR(F517),ISERROR(G517),ISERROR(H517)),"Error en fórmula: pegá como valores",IF(AND(B517="",$C$6=""),"Falta sector",IF(M517="","Falta capítulo",IF(TRIM(E517)="","Falta unidad",IF(NOT((COUNTIF(Listas!$A$2:$A$40,E517)+COUNTIF(Listas!$D$2:$D$60,E517)&gt;0)),"Unidad no reconocida",IF(AND(F517&lt;&gt;"",NOT(ISNUMBER(F517))),"Cantidad no es número",IF(N(F517)&lt;=0,"Falta cantidad",IF(OR(AND(G517&lt;&gt;"",NOT(ISNUMBER(G517))),AND(H517&lt;&gt;"",NOT(ISNUMBER(H517)))),"Precio no es número",IF(N(G517)+N(H517)&lt;=0,"Falta precio","✓ OK")))))))))))</f>
        <v/>
      </c>
      <c r="M517" t="str">
        <f>IF(N517&lt;&gt;"W","",IF(TRIM(C517)&lt;&gt;"",TRIM(C517),IFERROR(LOOKUP(2,1/(N$9:N517="T"),D$9:D517),"")))</f>
        <v/>
      </c>
      <c r="N517" t="str">
        <f t="shared" si="23"/>
        <v/>
      </c>
      <c r="O517" t="str">
        <f>IF(M517="","",IF(COUNTIF(M$9:M517,M517)=1,MAX(O$8:O516)+1,""))</f>
        <v/>
      </c>
    </row>
    <row r="518" spans="1:15" x14ac:dyDescent="0.75">
      <c r="A518" s="24" t="str">
        <f>IF(N518="W",COUNTIF(N$9:N518,"W"),"")</f>
        <v/>
      </c>
      <c r="B518" s="25"/>
      <c r="C518" s="25"/>
      <c r="D518" s="26"/>
      <c r="E518" s="25"/>
      <c r="F518" s="27"/>
      <c r="G518" s="28"/>
      <c r="H518" s="28"/>
      <c r="I518" s="29" t="str">
        <f t="shared" si="21"/>
        <v/>
      </c>
      <c r="J518" s="30" t="str">
        <f t="shared" si="22"/>
        <v/>
      </c>
      <c r="K518" s="26"/>
      <c r="L518" s="24" t="str">
        <f>IF(N518="","",IF(N518="T","Título de capítulo",IF(OR(ISERROR(F518),ISERROR(G518),ISERROR(H518)),"Error en fórmula: pegá como valores",IF(AND(B518="",$C$6=""),"Falta sector",IF(M518="","Falta capítulo",IF(TRIM(E518)="","Falta unidad",IF(NOT((COUNTIF(Listas!$A$2:$A$40,E518)+COUNTIF(Listas!$D$2:$D$60,E518)&gt;0)),"Unidad no reconocida",IF(AND(F518&lt;&gt;"",NOT(ISNUMBER(F518))),"Cantidad no es número",IF(N(F518)&lt;=0,"Falta cantidad",IF(OR(AND(G518&lt;&gt;"",NOT(ISNUMBER(G518))),AND(H518&lt;&gt;"",NOT(ISNUMBER(H518)))),"Precio no es número",IF(N(G518)+N(H518)&lt;=0,"Falta precio","✓ OK")))))))))))</f>
        <v/>
      </c>
      <c r="M518" t="str">
        <f>IF(N518&lt;&gt;"W","",IF(TRIM(C518)&lt;&gt;"",TRIM(C518),IFERROR(LOOKUP(2,1/(N$9:N518="T"),D$9:D518),"")))</f>
        <v/>
      </c>
      <c r="N518" t="str">
        <f t="shared" si="23"/>
        <v/>
      </c>
      <c r="O518" t="str">
        <f>IF(M518="","",IF(COUNTIF(M$9:M518,M518)=1,MAX(O$8:O517)+1,""))</f>
        <v/>
      </c>
    </row>
    <row r="519" spans="1:15" x14ac:dyDescent="0.75">
      <c r="A519" s="24" t="str">
        <f>IF(N519="W",COUNTIF(N$9:N519,"W"),"")</f>
        <v/>
      </c>
      <c r="B519" s="25"/>
      <c r="C519" s="25"/>
      <c r="D519" s="26"/>
      <c r="E519" s="25"/>
      <c r="F519" s="27"/>
      <c r="G519" s="28"/>
      <c r="H519" s="28"/>
      <c r="I519" s="29" t="str">
        <f t="shared" si="21"/>
        <v/>
      </c>
      <c r="J519" s="30" t="str">
        <f t="shared" si="22"/>
        <v/>
      </c>
      <c r="K519" s="26"/>
      <c r="L519" s="24" t="str">
        <f>IF(N519="","",IF(N519="T","Título de capítulo",IF(OR(ISERROR(F519),ISERROR(G519),ISERROR(H519)),"Error en fórmula: pegá como valores",IF(AND(B519="",$C$6=""),"Falta sector",IF(M519="","Falta capítulo",IF(TRIM(E519)="","Falta unidad",IF(NOT((COUNTIF(Listas!$A$2:$A$40,E519)+COUNTIF(Listas!$D$2:$D$60,E519)&gt;0)),"Unidad no reconocida",IF(AND(F519&lt;&gt;"",NOT(ISNUMBER(F519))),"Cantidad no es número",IF(N(F519)&lt;=0,"Falta cantidad",IF(OR(AND(G519&lt;&gt;"",NOT(ISNUMBER(G519))),AND(H519&lt;&gt;"",NOT(ISNUMBER(H519)))),"Precio no es número",IF(N(G519)+N(H519)&lt;=0,"Falta precio","✓ OK")))))))))))</f>
        <v/>
      </c>
      <c r="M519" t="str">
        <f>IF(N519&lt;&gt;"W","",IF(TRIM(C519)&lt;&gt;"",TRIM(C519),IFERROR(LOOKUP(2,1/(N$9:N519="T"),D$9:D519),"")))</f>
        <v/>
      </c>
      <c r="N519" t="str">
        <f t="shared" si="23"/>
        <v/>
      </c>
      <c r="O519" t="str">
        <f>IF(M519="","",IF(COUNTIF(M$9:M519,M519)=1,MAX(O$8:O518)+1,""))</f>
        <v/>
      </c>
    </row>
    <row r="520" spans="1:15" x14ac:dyDescent="0.75">
      <c r="A520" s="24" t="str">
        <f>IF(N520="W",COUNTIF(N$9:N520,"W"),"")</f>
        <v/>
      </c>
      <c r="B520" s="25"/>
      <c r="C520" s="25"/>
      <c r="D520" s="26"/>
      <c r="E520" s="25"/>
      <c r="F520" s="27"/>
      <c r="G520" s="28"/>
      <c r="H520" s="28"/>
      <c r="I520" s="29" t="str">
        <f t="shared" si="21"/>
        <v/>
      </c>
      <c r="J520" s="30" t="str">
        <f t="shared" si="22"/>
        <v/>
      </c>
      <c r="K520" s="26"/>
      <c r="L520" s="24" t="str">
        <f>IF(N520="","",IF(N520="T","Título de capítulo",IF(OR(ISERROR(F520),ISERROR(G520),ISERROR(H520)),"Error en fórmula: pegá como valores",IF(AND(B520="",$C$6=""),"Falta sector",IF(M520="","Falta capítulo",IF(TRIM(E520)="","Falta unidad",IF(NOT((COUNTIF(Listas!$A$2:$A$40,E520)+COUNTIF(Listas!$D$2:$D$60,E520)&gt;0)),"Unidad no reconocida",IF(AND(F520&lt;&gt;"",NOT(ISNUMBER(F520))),"Cantidad no es número",IF(N(F520)&lt;=0,"Falta cantidad",IF(OR(AND(G520&lt;&gt;"",NOT(ISNUMBER(G520))),AND(H520&lt;&gt;"",NOT(ISNUMBER(H520)))),"Precio no es número",IF(N(G520)+N(H520)&lt;=0,"Falta precio","✓ OK")))))))))))</f>
        <v/>
      </c>
      <c r="M520" t="str">
        <f>IF(N520&lt;&gt;"W","",IF(TRIM(C520)&lt;&gt;"",TRIM(C520),IFERROR(LOOKUP(2,1/(N$9:N520="T"),D$9:D520),"")))</f>
        <v/>
      </c>
      <c r="N520" t="str">
        <f t="shared" si="23"/>
        <v/>
      </c>
      <c r="O520" t="str">
        <f>IF(M520="","",IF(COUNTIF(M$9:M520,M520)=1,MAX(O$8:O519)+1,""))</f>
        <v/>
      </c>
    </row>
    <row r="521" spans="1:15" x14ac:dyDescent="0.75">
      <c r="A521" s="24" t="str">
        <f>IF(N521="W",COUNTIF(N$9:N521,"W"),"")</f>
        <v/>
      </c>
      <c r="B521" s="25"/>
      <c r="C521" s="25"/>
      <c r="D521" s="26"/>
      <c r="E521" s="25"/>
      <c r="F521" s="27"/>
      <c r="G521" s="28"/>
      <c r="H521" s="28"/>
      <c r="I521" s="29" t="str">
        <f t="shared" ref="I521:I584" si="24">IF(N521="W",IFERROR(N(G521)+N(H521),0),"")</f>
        <v/>
      </c>
      <c r="J521" s="30" t="str">
        <f t="shared" ref="J521:J584" si="25">IF(N521="W",IFERROR(N(F521)*I521,0),"")</f>
        <v/>
      </c>
      <c r="K521" s="26"/>
      <c r="L521" s="24" t="str">
        <f>IF(N521="","",IF(N521="T","Título de capítulo",IF(OR(ISERROR(F521),ISERROR(G521),ISERROR(H521)),"Error en fórmula: pegá como valores",IF(AND(B521="",$C$6=""),"Falta sector",IF(M521="","Falta capítulo",IF(TRIM(E521)="","Falta unidad",IF(NOT((COUNTIF(Listas!$A$2:$A$40,E521)+COUNTIF(Listas!$D$2:$D$60,E521)&gt;0)),"Unidad no reconocida",IF(AND(F521&lt;&gt;"",NOT(ISNUMBER(F521))),"Cantidad no es número",IF(N(F521)&lt;=0,"Falta cantidad",IF(OR(AND(G521&lt;&gt;"",NOT(ISNUMBER(G521))),AND(H521&lt;&gt;"",NOT(ISNUMBER(H521)))),"Precio no es número",IF(N(G521)+N(H521)&lt;=0,"Falta precio","✓ OK")))))))))))</f>
        <v/>
      </c>
      <c r="M521" t="str">
        <f>IF(N521&lt;&gt;"W","",IF(TRIM(C521)&lt;&gt;"",TRIM(C521),IFERROR(LOOKUP(2,1/(N$9:N521="T"),D$9:D521),"")))</f>
        <v/>
      </c>
      <c r="N521" t="str">
        <f t="shared" ref="N521:N584" si="26">IF(TRIM(D521)="","",IF(AND(TRIM(E521)="",IFERROR(N(F521),1)=0,IFERROR(N(G521)+N(H521),1)=0),"T","W"))</f>
        <v/>
      </c>
      <c r="O521" t="str">
        <f>IF(M521="","",IF(COUNTIF(M$9:M521,M521)=1,MAX(O$8:O520)+1,""))</f>
        <v/>
      </c>
    </row>
    <row r="522" spans="1:15" x14ac:dyDescent="0.75">
      <c r="A522" s="24" t="str">
        <f>IF(N522="W",COUNTIF(N$9:N522,"W"),"")</f>
        <v/>
      </c>
      <c r="B522" s="25"/>
      <c r="C522" s="25"/>
      <c r="D522" s="26"/>
      <c r="E522" s="25"/>
      <c r="F522" s="27"/>
      <c r="G522" s="28"/>
      <c r="H522" s="28"/>
      <c r="I522" s="29" t="str">
        <f t="shared" si="24"/>
        <v/>
      </c>
      <c r="J522" s="30" t="str">
        <f t="shared" si="25"/>
        <v/>
      </c>
      <c r="K522" s="26"/>
      <c r="L522" s="24" t="str">
        <f>IF(N522="","",IF(N522="T","Título de capítulo",IF(OR(ISERROR(F522),ISERROR(G522),ISERROR(H522)),"Error en fórmula: pegá como valores",IF(AND(B522="",$C$6=""),"Falta sector",IF(M522="","Falta capítulo",IF(TRIM(E522)="","Falta unidad",IF(NOT((COUNTIF(Listas!$A$2:$A$40,E522)+COUNTIF(Listas!$D$2:$D$60,E522)&gt;0)),"Unidad no reconocida",IF(AND(F522&lt;&gt;"",NOT(ISNUMBER(F522))),"Cantidad no es número",IF(N(F522)&lt;=0,"Falta cantidad",IF(OR(AND(G522&lt;&gt;"",NOT(ISNUMBER(G522))),AND(H522&lt;&gt;"",NOT(ISNUMBER(H522)))),"Precio no es número",IF(N(G522)+N(H522)&lt;=0,"Falta precio","✓ OK")))))))))))</f>
        <v/>
      </c>
      <c r="M522" t="str">
        <f>IF(N522&lt;&gt;"W","",IF(TRIM(C522)&lt;&gt;"",TRIM(C522),IFERROR(LOOKUP(2,1/(N$9:N522="T"),D$9:D522),"")))</f>
        <v/>
      </c>
      <c r="N522" t="str">
        <f t="shared" si="26"/>
        <v/>
      </c>
      <c r="O522" t="str">
        <f>IF(M522="","",IF(COUNTIF(M$9:M522,M522)=1,MAX(O$8:O521)+1,""))</f>
        <v/>
      </c>
    </row>
    <row r="523" spans="1:15" x14ac:dyDescent="0.75">
      <c r="A523" s="24" t="str">
        <f>IF(N523="W",COUNTIF(N$9:N523,"W"),"")</f>
        <v/>
      </c>
      <c r="B523" s="25"/>
      <c r="C523" s="25"/>
      <c r="D523" s="26"/>
      <c r="E523" s="25"/>
      <c r="F523" s="27"/>
      <c r="G523" s="28"/>
      <c r="H523" s="28"/>
      <c r="I523" s="29" t="str">
        <f t="shared" si="24"/>
        <v/>
      </c>
      <c r="J523" s="30" t="str">
        <f t="shared" si="25"/>
        <v/>
      </c>
      <c r="K523" s="26"/>
      <c r="L523" s="24" t="str">
        <f>IF(N523="","",IF(N523="T","Título de capítulo",IF(OR(ISERROR(F523),ISERROR(G523),ISERROR(H523)),"Error en fórmula: pegá como valores",IF(AND(B523="",$C$6=""),"Falta sector",IF(M523="","Falta capítulo",IF(TRIM(E523)="","Falta unidad",IF(NOT((COUNTIF(Listas!$A$2:$A$40,E523)+COUNTIF(Listas!$D$2:$D$60,E523)&gt;0)),"Unidad no reconocida",IF(AND(F523&lt;&gt;"",NOT(ISNUMBER(F523))),"Cantidad no es número",IF(N(F523)&lt;=0,"Falta cantidad",IF(OR(AND(G523&lt;&gt;"",NOT(ISNUMBER(G523))),AND(H523&lt;&gt;"",NOT(ISNUMBER(H523)))),"Precio no es número",IF(N(G523)+N(H523)&lt;=0,"Falta precio","✓ OK")))))))))))</f>
        <v/>
      </c>
      <c r="M523" t="str">
        <f>IF(N523&lt;&gt;"W","",IF(TRIM(C523)&lt;&gt;"",TRIM(C523),IFERROR(LOOKUP(2,1/(N$9:N523="T"),D$9:D523),"")))</f>
        <v/>
      </c>
      <c r="N523" t="str">
        <f t="shared" si="26"/>
        <v/>
      </c>
      <c r="O523" t="str">
        <f>IF(M523="","",IF(COUNTIF(M$9:M523,M523)=1,MAX(O$8:O522)+1,""))</f>
        <v/>
      </c>
    </row>
    <row r="524" spans="1:15" x14ac:dyDescent="0.75">
      <c r="A524" s="24" t="str">
        <f>IF(N524="W",COUNTIF(N$9:N524,"W"),"")</f>
        <v/>
      </c>
      <c r="B524" s="25"/>
      <c r="C524" s="25"/>
      <c r="D524" s="26"/>
      <c r="E524" s="25"/>
      <c r="F524" s="27"/>
      <c r="G524" s="28"/>
      <c r="H524" s="28"/>
      <c r="I524" s="29" t="str">
        <f t="shared" si="24"/>
        <v/>
      </c>
      <c r="J524" s="30" t="str">
        <f t="shared" si="25"/>
        <v/>
      </c>
      <c r="K524" s="26"/>
      <c r="L524" s="24" t="str">
        <f>IF(N524="","",IF(N524="T","Título de capítulo",IF(OR(ISERROR(F524),ISERROR(G524),ISERROR(H524)),"Error en fórmula: pegá como valores",IF(AND(B524="",$C$6=""),"Falta sector",IF(M524="","Falta capítulo",IF(TRIM(E524)="","Falta unidad",IF(NOT((COUNTIF(Listas!$A$2:$A$40,E524)+COUNTIF(Listas!$D$2:$D$60,E524)&gt;0)),"Unidad no reconocida",IF(AND(F524&lt;&gt;"",NOT(ISNUMBER(F524))),"Cantidad no es número",IF(N(F524)&lt;=0,"Falta cantidad",IF(OR(AND(G524&lt;&gt;"",NOT(ISNUMBER(G524))),AND(H524&lt;&gt;"",NOT(ISNUMBER(H524)))),"Precio no es número",IF(N(G524)+N(H524)&lt;=0,"Falta precio","✓ OK")))))))))))</f>
        <v/>
      </c>
      <c r="M524" t="str">
        <f>IF(N524&lt;&gt;"W","",IF(TRIM(C524)&lt;&gt;"",TRIM(C524),IFERROR(LOOKUP(2,1/(N$9:N524="T"),D$9:D524),"")))</f>
        <v/>
      </c>
      <c r="N524" t="str">
        <f t="shared" si="26"/>
        <v/>
      </c>
      <c r="O524" t="str">
        <f>IF(M524="","",IF(COUNTIF(M$9:M524,M524)=1,MAX(O$8:O523)+1,""))</f>
        <v/>
      </c>
    </row>
    <row r="525" spans="1:15" x14ac:dyDescent="0.75">
      <c r="A525" s="24" t="str">
        <f>IF(N525="W",COUNTIF(N$9:N525,"W"),"")</f>
        <v/>
      </c>
      <c r="B525" s="25"/>
      <c r="C525" s="25"/>
      <c r="D525" s="26"/>
      <c r="E525" s="25"/>
      <c r="F525" s="27"/>
      <c r="G525" s="28"/>
      <c r="H525" s="28"/>
      <c r="I525" s="29" t="str">
        <f t="shared" si="24"/>
        <v/>
      </c>
      <c r="J525" s="30" t="str">
        <f t="shared" si="25"/>
        <v/>
      </c>
      <c r="K525" s="26"/>
      <c r="L525" s="24" t="str">
        <f>IF(N525="","",IF(N525="T","Título de capítulo",IF(OR(ISERROR(F525),ISERROR(G525),ISERROR(H525)),"Error en fórmula: pegá como valores",IF(AND(B525="",$C$6=""),"Falta sector",IF(M525="","Falta capítulo",IF(TRIM(E525)="","Falta unidad",IF(NOT((COUNTIF(Listas!$A$2:$A$40,E525)+COUNTIF(Listas!$D$2:$D$60,E525)&gt;0)),"Unidad no reconocida",IF(AND(F525&lt;&gt;"",NOT(ISNUMBER(F525))),"Cantidad no es número",IF(N(F525)&lt;=0,"Falta cantidad",IF(OR(AND(G525&lt;&gt;"",NOT(ISNUMBER(G525))),AND(H525&lt;&gt;"",NOT(ISNUMBER(H525)))),"Precio no es número",IF(N(G525)+N(H525)&lt;=0,"Falta precio","✓ OK")))))))))))</f>
        <v/>
      </c>
      <c r="M525" t="str">
        <f>IF(N525&lt;&gt;"W","",IF(TRIM(C525)&lt;&gt;"",TRIM(C525),IFERROR(LOOKUP(2,1/(N$9:N525="T"),D$9:D525),"")))</f>
        <v/>
      </c>
      <c r="N525" t="str">
        <f t="shared" si="26"/>
        <v/>
      </c>
      <c r="O525" t="str">
        <f>IF(M525="","",IF(COUNTIF(M$9:M525,M525)=1,MAX(O$8:O524)+1,""))</f>
        <v/>
      </c>
    </row>
    <row r="526" spans="1:15" x14ac:dyDescent="0.75">
      <c r="A526" s="24" t="str">
        <f>IF(N526="W",COUNTIF(N$9:N526,"W"),"")</f>
        <v/>
      </c>
      <c r="B526" s="25"/>
      <c r="C526" s="25"/>
      <c r="D526" s="26"/>
      <c r="E526" s="25"/>
      <c r="F526" s="27"/>
      <c r="G526" s="28"/>
      <c r="H526" s="28"/>
      <c r="I526" s="29" t="str">
        <f t="shared" si="24"/>
        <v/>
      </c>
      <c r="J526" s="30" t="str">
        <f t="shared" si="25"/>
        <v/>
      </c>
      <c r="K526" s="26"/>
      <c r="L526" s="24" t="str">
        <f>IF(N526="","",IF(N526="T","Título de capítulo",IF(OR(ISERROR(F526),ISERROR(G526),ISERROR(H526)),"Error en fórmula: pegá como valores",IF(AND(B526="",$C$6=""),"Falta sector",IF(M526="","Falta capítulo",IF(TRIM(E526)="","Falta unidad",IF(NOT((COUNTIF(Listas!$A$2:$A$40,E526)+COUNTIF(Listas!$D$2:$D$60,E526)&gt;0)),"Unidad no reconocida",IF(AND(F526&lt;&gt;"",NOT(ISNUMBER(F526))),"Cantidad no es número",IF(N(F526)&lt;=0,"Falta cantidad",IF(OR(AND(G526&lt;&gt;"",NOT(ISNUMBER(G526))),AND(H526&lt;&gt;"",NOT(ISNUMBER(H526)))),"Precio no es número",IF(N(G526)+N(H526)&lt;=0,"Falta precio","✓ OK")))))))))))</f>
        <v/>
      </c>
      <c r="M526" t="str">
        <f>IF(N526&lt;&gt;"W","",IF(TRIM(C526)&lt;&gt;"",TRIM(C526),IFERROR(LOOKUP(2,1/(N$9:N526="T"),D$9:D526),"")))</f>
        <v/>
      </c>
      <c r="N526" t="str">
        <f t="shared" si="26"/>
        <v/>
      </c>
      <c r="O526" t="str">
        <f>IF(M526="","",IF(COUNTIF(M$9:M526,M526)=1,MAX(O$8:O525)+1,""))</f>
        <v/>
      </c>
    </row>
    <row r="527" spans="1:15" x14ac:dyDescent="0.75">
      <c r="A527" s="24" t="str">
        <f>IF(N527="W",COUNTIF(N$9:N527,"W"),"")</f>
        <v/>
      </c>
      <c r="B527" s="25"/>
      <c r="C527" s="25"/>
      <c r="D527" s="26"/>
      <c r="E527" s="25"/>
      <c r="F527" s="27"/>
      <c r="G527" s="28"/>
      <c r="H527" s="28"/>
      <c r="I527" s="29" t="str">
        <f t="shared" si="24"/>
        <v/>
      </c>
      <c r="J527" s="30" t="str">
        <f t="shared" si="25"/>
        <v/>
      </c>
      <c r="K527" s="26"/>
      <c r="L527" s="24" t="str">
        <f>IF(N527="","",IF(N527="T","Título de capítulo",IF(OR(ISERROR(F527),ISERROR(G527),ISERROR(H527)),"Error en fórmula: pegá como valores",IF(AND(B527="",$C$6=""),"Falta sector",IF(M527="","Falta capítulo",IF(TRIM(E527)="","Falta unidad",IF(NOT((COUNTIF(Listas!$A$2:$A$40,E527)+COUNTIF(Listas!$D$2:$D$60,E527)&gt;0)),"Unidad no reconocida",IF(AND(F527&lt;&gt;"",NOT(ISNUMBER(F527))),"Cantidad no es número",IF(N(F527)&lt;=0,"Falta cantidad",IF(OR(AND(G527&lt;&gt;"",NOT(ISNUMBER(G527))),AND(H527&lt;&gt;"",NOT(ISNUMBER(H527)))),"Precio no es número",IF(N(G527)+N(H527)&lt;=0,"Falta precio","✓ OK")))))))))))</f>
        <v/>
      </c>
      <c r="M527" t="str">
        <f>IF(N527&lt;&gt;"W","",IF(TRIM(C527)&lt;&gt;"",TRIM(C527),IFERROR(LOOKUP(2,1/(N$9:N527="T"),D$9:D527),"")))</f>
        <v/>
      </c>
      <c r="N527" t="str">
        <f t="shared" si="26"/>
        <v/>
      </c>
      <c r="O527" t="str">
        <f>IF(M527="","",IF(COUNTIF(M$9:M527,M527)=1,MAX(O$8:O526)+1,""))</f>
        <v/>
      </c>
    </row>
    <row r="528" spans="1:15" x14ac:dyDescent="0.75">
      <c r="A528" s="24" t="str">
        <f>IF(N528="W",COUNTIF(N$9:N528,"W"),"")</f>
        <v/>
      </c>
      <c r="B528" s="25"/>
      <c r="C528" s="25"/>
      <c r="D528" s="26"/>
      <c r="E528" s="25"/>
      <c r="F528" s="27"/>
      <c r="G528" s="28"/>
      <c r="H528" s="28"/>
      <c r="I528" s="29" t="str">
        <f t="shared" si="24"/>
        <v/>
      </c>
      <c r="J528" s="30" t="str">
        <f t="shared" si="25"/>
        <v/>
      </c>
      <c r="K528" s="26"/>
      <c r="L528" s="24" t="str">
        <f>IF(N528="","",IF(N528="T","Título de capítulo",IF(OR(ISERROR(F528),ISERROR(G528),ISERROR(H528)),"Error en fórmula: pegá como valores",IF(AND(B528="",$C$6=""),"Falta sector",IF(M528="","Falta capítulo",IF(TRIM(E528)="","Falta unidad",IF(NOT((COUNTIF(Listas!$A$2:$A$40,E528)+COUNTIF(Listas!$D$2:$D$60,E528)&gt;0)),"Unidad no reconocida",IF(AND(F528&lt;&gt;"",NOT(ISNUMBER(F528))),"Cantidad no es número",IF(N(F528)&lt;=0,"Falta cantidad",IF(OR(AND(G528&lt;&gt;"",NOT(ISNUMBER(G528))),AND(H528&lt;&gt;"",NOT(ISNUMBER(H528)))),"Precio no es número",IF(N(G528)+N(H528)&lt;=0,"Falta precio","✓ OK")))))))))))</f>
        <v/>
      </c>
      <c r="M528" t="str">
        <f>IF(N528&lt;&gt;"W","",IF(TRIM(C528)&lt;&gt;"",TRIM(C528),IFERROR(LOOKUP(2,1/(N$9:N528="T"),D$9:D528),"")))</f>
        <v/>
      </c>
      <c r="N528" t="str">
        <f t="shared" si="26"/>
        <v/>
      </c>
      <c r="O528" t="str">
        <f>IF(M528="","",IF(COUNTIF(M$9:M528,M528)=1,MAX(O$8:O527)+1,""))</f>
        <v/>
      </c>
    </row>
    <row r="529" spans="1:15" x14ac:dyDescent="0.75">
      <c r="A529" s="24" t="str">
        <f>IF(N529="W",COUNTIF(N$9:N529,"W"),"")</f>
        <v/>
      </c>
      <c r="B529" s="25"/>
      <c r="C529" s="25"/>
      <c r="D529" s="26"/>
      <c r="E529" s="25"/>
      <c r="F529" s="27"/>
      <c r="G529" s="28"/>
      <c r="H529" s="28"/>
      <c r="I529" s="29" t="str">
        <f t="shared" si="24"/>
        <v/>
      </c>
      <c r="J529" s="30" t="str">
        <f t="shared" si="25"/>
        <v/>
      </c>
      <c r="K529" s="26"/>
      <c r="L529" s="24" t="str">
        <f>IF(N529="","",IF(N529="T","Título de capítulo",IF(OR(ISERROR(F529),ISERROR(G529),ISERROR(H529)),"Error en fórmula: pegá como valores",IF(AND(B529="",$C$6=""),"Falta sector",IF(M529="","Falta capítulo",IF(TRIM(E529)="","Falta unidad",IF(NOT((COUNTIF(Listas!$A$2:$A$40,E529)+COUNTIF(Listas!$D$2:$D$60,E529)&gt;0)),"Unidad no reconocida",IF(AND(F529&lt;&gt;"",NOT(ISNUMBER(F529))),"Cantidad no es número",IF(N(F529)&lt;=0,"Falta cantidad",IF(OR(AND(G529&lt;&gt;"",NOT(ISNUMBER(G529))),AND(H529&lt;&gt;"",NOT(ISNUMBER(H529)))),"Precio no es número",IF(N(G529)+N(H529)&lt;=0,"Falta precio","✓ OK")))))))))))</f>
        <v/>
      </c>
      <c r="M529" t="str">
        <f>IF(N529&lt;&gt;"W","",IF(TRIM(C529)&lt;&gt;"",TRIM(C529),IFERROR(LOOKUP(2,1/(N$9:N529="T"),D$9:D529),"")))</f>
        <v/>
      </c>
      <c r="N529" t="str">
        <f t="shared" si="26"/>
        <v/>
      </c>
      <c r="O529" t="str">
        <f>IF(M529="","",IF(COUNTIF(M$9:M529,M529)=1,MAX(O$8:O528)+1,""))</f>
        <v/>
      </c>
    </row>
    <row r="530" spans="1:15" x14ac:dyDescent="0.75">
      <c r="A530" s="24" t="str">
        <f>IF(N530="W",COUNTIF(N$9:N530,"W"),"")</f>
        <v/>
      </c>
      <c r="B530" s="25"/>
      <c r="C530" s="25"/>
      <c r="D530" s="26"/>
      <c r="E530" s="25"/>
      <c r="F530" s="27"/>
      <c r="G530" s="28"/>
      <c r="H530" s="28"/>
      <c r="I530" s="29" t="str">
        <f t="shared" si="24"/>
        <v/>
      </c>
      <c r="J530" s="30" t="str">
        <f t="shared" si="25"/>
        <v/>
      </c>
      <c r="K530" s="26"/>
      <c r="L530" s="24" t="str">
        <f>IF(N530="","",IF(N530="T","Título de capítulo",IF(OR(ISERROR(F530),ISERROR(G530),ISERROR(H530)),"Error en fórmula: pegá como valores",IF(AND(B530="",$C$6=""),"Falta sector",IF(M530="","Falta capítulo",IF(TRIM(E530)="","Falta unidad",IF(NOT((COUNTIF(Listas!$A$2:$A$40,E530)+COUNTIF(Listas!$D$2:$D$60,E530)&gt;0)),"Unidad no reconocida",IF(AND(F530&lt;&gt;"",NOT(ISNUMBER(F530))),"Cantidad no es número",IF(N(F530)&lt;=0,"Falta cantidad",IF(OR(AND(G530&lt;&gt;"",NOT(ISNUMBER(G530))),AND(H530&lt;&gt;"",NOT(ISNUMBER(H530)))),"Precio no es número",IF(N(G530)+N(H530)&lt;=0,"Falta precio","✓ OK")))))))))))</f>
        <v/>
      </c>
      <c r="M530" t="str">
        <f>IF(N530&lt;&gt;"W","",IF(TRIM(C530)&lt;&gt;"",TRIM(C530),IFERROR(LOOKUP(2,1/(N$9:N530="T"),D$9:D530),"")))</f>
        <v/>
      </c>
      <c r="N530" t="str">
        <f t="shared" si="26"/>
        <v/>
      </c>
      <c r="O530" t="str">
        <f>IF(M530="","",IF(COUNTIF(M$9:M530,M530)=1,MAX(O$8:O529)+1,""))</f>
        <v/>
      </c>
    </row>
    <row r="531" spans="1:15" x14ac:dyDescent="0.75">
      <c r="A531" s="24" t="str">
        <f>IF(N531="W",COUNTIF(N$9:N531,"W"),"")</f>
        <v/>
      </c>
      <c r="B531" s="25"/>
      <c r="C531" s="25"/>
      <c r="D531" s="26"/>
      <c r="E531" s="25"/>
      <c r="F531" s="27"/>
      <c r="G531" s="28"/>
      <c r="H531" s="28"/>
      <c r="I531" s="29" t="str">
        <f t="shared" si="24"/>
        <v/>
      </c>
      <c r="J531" s="30" t="str">
        <f t="shared" si="25"/>
        <v/>
      </c>
      <c r="K531" s="26"/>
      <c r="L531" s="24" t="str">
        <f>IF(N531="","",IF(N531="T","Título de capítulo",IF(OR(ISERROR(F531),ISERROR(G531),ISERROR(H531)),"Error en fórmula: pegá como valores",IF(AND(B531="",$C$6=""),"Falta sector",IF(M531="","Falta capítulo",IF(TRIM(E531)="","Falta unidad",IF(NOT((COUNTIF(Listas!$A$2:$A$40,E531)+COUNTIF(Listas!$D$2:$D$60,E531)&gt;0)),"Unidad no reconocida",IF(AND(F531&lt;&gt;"",NOT(ISNUMBER(F531))),"Cantidad no es número",IF(N(F531)&lt;=0,"Falta cantidad",IF(OR(AND(G531&lt;&gt;"",NOT(ISNUMBER(G531))),AND(H531&lt;&gt;"",NOT(ISNUMBER(H531)))),"Precio no es número",IF(N(G531)+N(H531)&lt;=0,"Falta precio","✓ OK")))))))))))</f>
        <v/>
      </c>
      <c r="M531" t="str">
        <f>IF(N531&lt;&gt;"W","",IF(TRIM(C531)&lt;&gt;"",TRIM(C531),IFERROR(LOOKUP(2,1/(N$9:N531="T"),D$9:D531),"")))</f>
        <v/>
      </c>
      <c r="N531" t="str">
        <f t="shared" si="26"/>
        <v/>
      </c>
      <c r="O531" t="str">
        <f>IF(M531="","",IF(COUNTIF(M$9:M531,M531)=1,MAX(O$8:O530)+1,""))</f>
        <v/>
      </c>
    </row>
    <row r="532" spans="1:15" x14ac:dyDescent="0.75">
      <c r="A532" s="24" t="str">
        <f>IF(N532="W",COUNTIF(N$9:N532,"W"),"")</f>
        <v/>
      </c>
      <c r="B532" s="25"/>
      <c r="C532" s="25"/>
      <c r="D532" s="26"/>
      <c r="E532" s="25"/>
      <c r="F532" s="27"/>
      <c r="G532" s="28"/>
      <c r="H532" s="28"/>
      <c r="I532" s="29" t="str">
        <f t="shared" si="24"/>
        <v/>
      </c>
      <c r="J532" s="30" t="str">
        <f t="shared" si="25"/>
        <v/>
      </c>
      <c r="K532" s="26"/>
      <c r="L532" s="24" t="str">
        <f>IF(N532="","",IF(N532="T","Título de capítulo",IF(OR(ISERROR(F532),ISERROR(G532),ISERROR(H532)),"Error en fórmula: pegá como valores",IF(AND(B532="",$C$6=""),"Falta sector",IF(M532="","Falta capítulo",IF(TRIM(E532)="","Falta unidad",IF(NOT((COUNTIF(Listas!$A$2:$A$40,E532)+COUNTIF(Listas!$D$2:$D$60,E532)&gt;0)),"Unidad no reconocida",IF(AND(F532&lt;&gt;"",NOT(ISNUMBER(F532))),"Cantidad no es número",IF(N(F532)&lt;=0,"Falta cantidad",IF(OR(AND(G532&lt;&gt;"",NOT(ISNUMBER(G532))),AND(H532&lt;&gt;"",NOT(ISNUMBER(H532)))),"Precio no es número",IF(N(G532)+N(H532)&lt;=0,"Falta precio","✓ OK")))))))))))</f>
        <v/>
      </c>
      <c r="M532" t="str">
        <f>IF(N532&lt;&gt;"W","",IF(TRIM(C532)&lt;&gt;"",TRIM(C532),IFERROR(LOOKUP(2,1/(N$9:N532="T"),D$9:D532),"")))</f>
        <v/>
      </c>
      <c r="N532" t="str">
        <f t="shared" si="26"/>
        <v/>
      </c>
      <c r="O532" t="str">
        <f>IF(M532="","",IF(COUNTIF(M$9:M532,M532)=1,MAX(O$8:O531)+1,""))</f>
        <v/>
      </c>
    </row>
    <row r="533" spans="1:15" x14ac:dyDescent="0.75">
      <c r="A533" s="24" t="str">
        <f>IF(N533="W",COUNTIF(N$9:N533,"W"),"")</f>
        <v/>
      </c>
      <c r="B533" s="25"/>
      <c r="C533" s="25"/>
      <c r="D533" s="26"/>
      <c r="E533" s="25"/>
      <c r="F533" s="27"/>
      <c r="G533" s="28"/>
      <c r="H533" s="28"/>
      <c r="I533" s="29" t="str">
        <f t="shared" si="24"/>
        <v/>
      </c>
      <c r="J533" s="30" t="str">
        <f t="shared" si="25"/>
        <v/>
      </c>
      <c r="K533" s="26"/>
      <c r="L533" s="24" t="str">
        <f>IF(N533="","",IF(N533="T","Título de capítulo",IF(OR(ISERROR(F533),ISERROR(G533),ISERROR(H533)),"Error en fórmula: pegá como valores",IF(AND(B533="",$C$6=""),"Falta sector",IF(M533="","Falta capítulo",IF(TRIM(E533)="","Falta unidad",IF(NOT((COUNTIF(Listas!$A$2:$A$40,E533)+COUNTIF(Listas!$D$2:$D$60,E533)&gt;0)),"Unidad no reconocida",IF(AND(F533&lt;&gt;"",NOT(ISNUMBER(F533))),"Cantidad no es número",IF(N(F533)&lt;=0,"Falta cantidad",IF(OR(AND(G533&lt;&gt;"",NOT(ISNUMBER(G533))),AND(H533&lt;&gt;"",NOT(ISNUMBER(H533)))),"Precio no es número",IF(N(G533)+N(H533)&lt;=0,"Falta precio","✓ OK")))))))))))</f>
        <v/>
      </c>
      <c r="M533" t="str">
        <f>IF(N533&lt;&gt;"W","",IF(TRIM(C533)&lt;&gt;"",TRIM(C533),IFERROR(LOOKUP(2,1/(N$9:N533="T"),D$9:D533),"")))</f>
        <v/>
      </c>
      <c r="N533" t="str">
        <f t="shared" si="26"/>
        <v/>
      </c>
      <c r="O533" t="str">
        <f>IF(M533="","",IF(COUNTIF(M$9:M533,M533)=1,MAX(O$8:O532)+1,""))</f>
        <v/>
      </c>
    </row>
    <row r="534" spans="1:15" x14ac:dyDescent="0.75">
      <c r="A534" s="24" t="str">
        <f>IF(N534="W",COUNTIF(N$9:N534,"W"),"")</f>
        <v/>
      </c>
      <c r="B534" s="25"/>
      <c r="C534" s="25"/>
      <c r="D534" s="26"/>
      <c r="E534" s="25"/>
      <c r="F534" s="27"/>
      <c r="G534" s="28"/>
      <c r="H534" s="28"/>
      <c r="I534" s="29" t="str">
        <f t="shared" si="24"/>
        <v/>
      </c>
      <c r="J534" s="30" t="str">
        <f t="shared" si="25"/>
        <v/>
      </c>
      <c r="K534" s="26"/>
      <c r="L534" s="24" t="str">
        <f>IF(N534="","",IF(N534="T","Título de capítulo",IF(OR(ISERROR(F534),ISERROR(G534),ISERROR(H534)),"Error en fórmula: pegá como valores",IF(AND(B534="",$C$6=""),"Falta sector",IF(M534="","Falta capítulo",IF(TRIM(E534)="","Falta unidad",IF(NOT((COUNTIF(Listas!$A$2:$A$40,E534)+COUNTIF(Listas!$D$2:$D$60,E534)&gt;0)),"Unidad no reconocida",IF(AND(F534&lt;&gt;"",NOT(ISNUMBER(F534))),"Cantidad no es número",IF(N(F534)&lt;=0,"Falta cantidad",IF(OR(AND(G534&lt;&gt;"",NOT(ISNUMBER(G534))),AND(H534&lt;&gt;"",NOT(ISNUMBER(H534)))),"Precio no es número",IF(N(G534)+N(H534)&lt;=0,"Falta precio","✓ OK")))))))))))</f>
        <v/>
      </c>
      <c r="M534" t="str">
        <f>IF(N534&lt;&gt;"W","",IF(TRIM(C534)&lt;&gt;"",TRIM(C534),IFERROR(LOOKUP(2,1/(N$9:N534="T"),D$9:D534),"")))</f>
        <v/>
      </c>
      <c r="N534" t="str">
        <f t="shared" si="26"/>
        <v/>
      </c>
      <c r="O534" t="str">
        <f>IF(M534="","",IF(COUNTIF(M$9:M534,M534)=1,MAX(O$8:O533)+1,""))</f>
        <v/>
      </c>
    </row>
    <row r="535" spans="1:15" x14ac:dyDescent="0.75">
      <c r="A535" s="24" t="str">
        <f>IF(N535="W",COUNTIF(N$9:N535,"W"),"")</f>
        <v/>
      </c>
      <c r="B535" s="25"/>
      <c r="C535" s="25"/>
      <c r="D535" s="26"/>
      <c r="E535" s="25"/>
      <c r="F535" s="27"/>
      <c r="G535" s="28"/>
      <c r="H535" s="28"/>
      <c r="I535" s="29" t="str">
        <f t="shared" si="24"/>
        <v/>
      </c>
      <c r="J535" s="30" t="str">
        <f t="shared" si="25"/>
        <v/>
      </c>
      <c r="K535" s="26"/>
      <c r="L535" s="24" t="str">
        <f>IF(N535="","",IF(N535="T","Título de capítulo",IF(OR(ISERROR(F535),ISERROR(G535),ISERROR(H535)),"Error en fórmula: pegá como valores",IF(AND(B535="",$C$6=""),"Falta sector",IF(M535="","Falta capítulo",IF(TRIM(E535)="","Falta unidad",IF(NOT((COUNTIF(Listas!$A$2:$A$40,E535)+COUNTIF(Listas!$D$2:$D$60,E535)&gt;0)),"Unidad no reconocida",IF(AND(F535&lt;&gt;"",NOT(ISNUMBER(F535))),"Cantidad no es número",IF(N(F535)&lt;=0,"Falta cantidad",IF(OR(AND(G535&lt;&gt;"",NOT(ISNUMBER(G535))),AND(H535&lt;&gt;"",NOT(ISNUMBER(H535)))),"Precio no es número",IF(N(G535)+N(H535)&lt;=0,"Falta precio","✓ OK")))))))))))</f>
        <v/>
      </c>
      <c r="M535" t="str">
        <f>IF(N535&lt;&gt;"W","",IF(TRIM(C535)&lt;&gt;"",TRIM(C535),IFERROR(LOOKUP(2,1/(N$9:N535="T"),D$9:D535),"")))</f>
        <v/>
      </c>
      <c r="N535" t="str">
        <f t="shared" si="26"/>
        <v/>
      </c>
      <c r="O535" t="str">
        <f>IF(M535="","",IF(COUNTIF(M$9:M535,M535)=1,MAX(O$8:O534)+1,""))</f>
        <v/>
      </c>
    </row>
    <row r="536" spans="1:15" x14ac:dyDescent="0.75">
      <c r="A536" s="24" t="str">
        <f>IF(N536="W",COUNTIF(N$9:N536,"W"),"")</f>
        <v/>
      </c>
      <c r="B536" s="25"/>
      <c r="C536" s="25"/>
      <c r="D536" s="26"/>
      <c r="E536" s="25"/>
      <c r="F536" s="27"/>
      <c r="G536" s="28"/>
      <c r="H536" s="28"/>
      <c r="I536" s="29" t="str">
        <f t="shared" si="24"/>
        <v/>
      </c>
      <c r="J536" s="30" t="str">
        <f t="shared" si="25"/>
        <v/>
      </c>
      <c r="K536" s="26"/>
      <c r="L536" s="24" t="str">
        <f>IF(N536="","",IF(N536="T","Título de capítulo",IF(OR(ISERROR(F536),ISERROR(G536),ISERROR(H536)),"Error en fórmula: pegá como valores",IF(AND(B536="",$C$6=""),"Falta sector",IF(M536="","Falta capítulo",IF(TRIM(E536)="","Falta unidad",IF(NOT((COUNTIF(Listas!$A$2:$A$40,E536)+COUNTIF(Listas!$D$2:$D$60,E536)&gt;0)),"Unidad no reconocida",IF(AND(F536&lt;&gt;"",NOT(ISNUMBER(F536))),"Cantidad no es número",IF(N(F536)&lt;=0,"Falta cantidad",IF(OR(AND(G536&lt;&gt;"",NOT(ISNUMBER(G536))),AND(H536&lt;&gt;"",NOT(ISNUMBER(H536)))),"Precio no es número",IF(N(G536)+N(H536)&lt;=0,"Falta precio","✓ OK")))))))))))</f>
        <v/>
      </c>
      <c r="M536" t="str">
        <f>IF(N536&lt;&gt;"W","",IF(TRIM(C536)&lt;&gt;"",TRIM(C536),IFERROR(LOOKUP(2,1/(N$9:N536="T"),D$9:D536),"")))</f>
        <v/>
      </c>
      <c r="N536" t="str">
        <f t="shared" si="26"/>
        <v/>
      </c>
      <c r="O536" t="str">
        <f>IF(M536="","",IF(COUNTIF(M$9:M536,M536)=1,MAX(O$8:O535)+1,""))</f>
        <v/>
      </c>
    </row>
    <row r="537" spans="1:15" x14ac:dyDescent="0.75">
      <c r="A537" s="24" t="str">
        <f>IF(N537="W",COUNTIF(N$9:N537,"W"),"")</f>
        <v/>
      </c>
      <c r="B537" s="25"/>
      <c r="C537" s="25"/>
      <c r="D537" s="26"/>
      <c r="E537" s="25"/>
      <c r="F537" s="27"/>
      <c r="G537" s="28"/>
      <c r="H537" s="28"/>
      <c r="I537" s="29" t="str">
        <f t="shared" si="24"/>
        <v/>
      </c>
      <c r="J537" s="30" t="str">
        <f t="shared" si="25"/>
        <v/>
      </c>
      <c r="K537" s="26"/>
      <c r="L537" s="24" t="str">
        <f>IF(N537="","",IF(N537="T","Título de capítulo",IF(OR(ISERROR(F537),ISERROR(G537),ISERROR(H537)),"Error en fórmula: pegá como valores",IF(AND(B537="",$C$6=""),"Falta sector",IF(M537="","Falta capítulo",IF(TRIM(E537)="","Falta unidad",IF(NOT((COUNTIF(Listas!$A$2:$A$40,E537)+COUNTIF(Listas!$D$2:$D$60,E537)&gt;0)),"Unidad no reconocida",IF(AND(F537&lt;&gt;"",NOT(ISNUMBER(F537))),"Cantidad no es número",IF(N(F537)&lt;=0,"Falta cantidad",IF(OR(AND(G537&lt;&gt;"",NOT(ISNUMBER(G537))),AND(H537&lt;&gt;"",NOT(ISNUMBER(H537)))),"Precio no es número",IF(N(G537)+N(H537)&lt;=0,"Falta precio","✓ OK")))))))))))</f>
        <v/>
      </c>
      <c r="M537" t="str">
        <f>IF(N537&lt;&gt;"W","",IF(TRIM(C537)&lt;&gt;"",TRIM(C537),IFERROR(LOOKUP(2,1/(N$9:N537="T"),D$9:D537),"")))</f>
        <v/>
      </c>
      <c r="N537" t="str">
        <f t="shared" si="26"/>
        <v/>
      </c>
      <c r="O537" t="str">
        <f>IF(M537="","",IF(COUNTIF(M$9:M537,M537)=1,MAX(O$8:O536)+1,""))</f>
        <v/>
      </c>
    </row>
    <row r="538" spans="1:15" x14ac:dyDescent="0.75">
      <c r="A538" s="24" t="str">
        <f>IF(N538="W",COUNTIF(N$9:N538,"W"),"")</f>
        <v/>
      </c>
      <c r="B538" s="25"/>
      <c r="C538" s="25"/>
      <c r="D538" s="26"/>
      <c r="E538" s="25"/>
      <c r="F538" s="27"/>
      <c r="G538" s="28"/>
      <c r="H538" s="28"/>
      <c r="I538" s="29" t="str">
        <f t="shared" si="24"/>
        <v/>
      </c>
      <c r="J538" s="30" t="str">
        <f t="shared" si="25"/>
        <v/>
      </c>
      <c r="K538" s="26"/>
      <c r="L538" s="24" t="str">
        <f>IF(N538="","",IF(N538="T","Título de capítulo",IF(OR(ISERROR(F538),ISERROR(G538),ISERROR(H538)),"Error en fórmula: pegá como valores",IF(AND(B538="",$C$6=""),"Falta sector",IF(M538="","Falta capítulo",IF(TRIM(E538)="","Falta unidad",IF(NOT((COUNTIF(Listas!$A$2:$A$40,E538)+COUNTIF(Listas!$D$2:$D$60,E538)&gt;0)),"Unidad no reconocida",IF(AND(F538&lt;&gt;"",NOT(ISNUMBER(F538))),"Cantidad no es número",IF(N(F538)&lt;=0,"Falta cantidad",IF(OR(AND(G538&lt;&gt;"",NOT(ISNUMBER(G538))),AND(H538&lt;&gt;"",NOT(ISNUMBER(H538)))),"Precio no es número",IF(N(G538)+N(H538)&lt;=0,"Falta precio","✓ OK")))))))))))</f>
        <v/>
      </c>
      <c r="M538" t="str">
        <f>IF(N538&lt;&gt;"W","",IF(TRIM(C538)&lt;&gt;"",TRIM(C538),IFERROR(LOOKUP(2,1/(N$9:N538="T"),D$9:D538),"")))</f>
        <v/>
      </c>
      <c r="N538" t="str">
        <f t="shared" si="26"/>
        <v/>
      </c>
      <c r="O538" t="str">
        <f>IF(M538="","",IF(COUNTIF(M$9:M538,M538)=1,MAX(O$8:O537)+1,""))</f>
        <v/>
      </c>
    </row>
    <row r="539" spans="1:15" x14ac:dyDescent="0.75">
      <c r="A539" s="24" t="str">
        <f>IF(N539="W",COUNTIF(N$9:N539,"W"),"")</f>
        <v/>
      </c>
      <c r="B539" s="25"/>
      <c r="C539" s="25"/>
      <c r="D539" s="26"/>
      <c r="E539" s="25"/>
      <c r="F539" s="27"/>
      <c r="G539" s="28"/>
      <c r="H539" s="28"/>
      <c r="I539" s="29" t="str">
        <f t="shared" si="24"/>
        <v/>
      </c>
      <c r="J539" s="30" t="str">
        <f t="shared" si="25"/>
        <v/>
      </c>
      <c r="K539" s="26"/>
      <c r="L539" s="24" t="str">
        <f>IF(N539="","",IF(N539="T","Título de capítulo",IF(OR(ISERROR(F539),ISERROR(G539),ISERROR(H539)),"Error en fórmula: pegá como valores",IF(AND(B539="",$C$6=""),"Falta sector",IF(M539="","Falta capítulo",IF(TRIM(E539)="","Falta unidad",IF(NOT((COUNTIF(Listas!$A$2:$A$40,E539)+COUNTIF(Listas!$D$2:$D$60,E539)&gt;0)),"Unidad no reconocida",IF(AND(F539&lt;&gt;"",NOT(ISNUMBER(F539))),"Cantidad no es número",IF(N(F539)&lt;=0,"Falta cantidad",IF(OR(AND(G539&lt;&gt;"",NOT(ISNUMBER(G539))),AND(H539&lt;&gt;"",NOT(ISNUMBER(H539)))),"Precio no es número",IF(N(G539)+N(H539)&lt;=0,"Falta precio","✓ OK")))))))))))</f>
        <v/>
      </c>
      <c r="M539" t="str">
        <f>IF(N539&lt;&gt;"W","",IF(TRIM(C539)&lt;&gt;"",TRIM(C539),IFERROR(LOOKUP(2,1/(N$9:N539="T"),D$9:D539),"")))</f>
        <v/>
      </c>
      <c r="N539" t="str">
        <f t="shared" si="26"/>
        <v/>
      </c>
      <c r="O539" t="str">
        <f>IF(M539="","",IF(COUNTIF(M$9:M539,M539)=1,MAX(O$8:O538)+1,""))</f>
        <v/>
      </c>
    </row>
    <row r="540" spans="1:15" x14ac:dyDescent="0.75">
      <c r="A540" s="24" t="str">
        <f>IF(N540="W",COUNTIF(N$9:N540,"W"),"")</f>
        <v/>
      </c>
      <c r="B540" s="25"/>
      <c r="C540" s="25"/>
      <c r="D540" s="26"/>
      <c r="E540" s="25"/>
      <c r="F540" s="27"/>
      <c r="G540" s="28"/>
      <c r="H540" s="28"/>
      <c r="I540" s="29" t="str">
        <f t="shared" si="24"/>
        <v/>
      </c>
      <c r="J540" s="30" t="str">
        <f t="shared" si="25"/>
        <v/>
      </c>
      <c r="K540" s="26"/>
      <c r="L540" s="24" t="str">
        <f>IF(N540="","",IF(N540="T","Título de capítulo",IF(OR(ISERROR(F540),ISERROR(G540),ISERROR(H540)),"Error en fórmula: pegá como valores",IF(AND(B540="",$C$6=""),"Falta sector",IF(M540="","Falta capítulo",IF(TRIM(E540)="","Falta unidad",IF(NOT((COUNTIF(Listas!$A$2:$A$40,E540)+COUNTIF(Listas!$D$2:$D$60,E540)&gt;0)),"Unidad no reconocida",IF(AND(F540&lt;&gt;"",NOT(ISNUMBER(F540))),"Cantidad no es número",IF(N(F540)&lt;=0,"Falta cantidad",IF(OR(AND(G540&lt;&gt;"",NOT(ISNUMBER(G540))),AND(H540&lt;&gt;"",NOT(ISNUMBER(H540)))),"Precio no es número",IF(N(G540)+N(H540)&lt;=0,"Falta precio","✓ OK")))))))))))</f>
        <v/>
      </c>
      <c r="M540" t="str">
        <f>IF(N540&lt;&gt;"W","",IF(TRIM(C540)&lt;&gt;"",TRIM(C540),IFERROR(LOOKUP(2,1/(N$9:N540="T"),D$9:D540),"")))</f>
        <v/>
      </c>
      <c r="N540" t="str">
        <f t="shared" si="26"/>
        <v/>
      </c>
      <c r="O540" t="str">
        <f>IF(M540="","",IF(COUNTIF(M$9:M540,M540)=1,MAX(O$8:O539)+1,""))</f>
        <v/>
      </c>
    </row>
    <row r="541" spans="1:15" x14ac:dyDescent="0.75">
      <c r="A541" s="24" t="str">
        <f>IF(N541="W",COUNTIF(N$9:N541,"W"),"")</f>
        <v/>
      </c>
      <c r="B541" s="25"/>
      <c r="C541" s="25"/>
      <c r="D541" s="26"/>
      <c r="E541" s="25"/>
      <c r="F541" s="27"/>
      <c r="G541" s="28"/>
      <c r="H541" s="28"/>
      <c r="I541" s="29" t="str">
        <f t="shared" si="24"/>
        <v/>
      </c>
      <c r="J541" s="30" t="str">
        <f t="shared" si="25"/>
        <v/>
      </c>
      <c r="K541" s="26"/>
      <c r="L541" s="24" t="str">
        <f>IF(N541="","",IF(N541="T","Título de capítulo",IF(OR(ISERROR(F541),ISERROR(G541),ISERROR(H541)),"Error en fórmula: pegá como valores",IF(AND(B541="",$C$6=""),"Falta sector",IF(M541="","Falta capítulo",IF(TRIM(E541)="","Falta unidad",IF(NOT((COUNTIF(Listas!$A$2:$A$40,E541)+COUNTIF(Listas!$D$2:$D$60,E541)&gt;0)),"Unidad no reconocida",IF(AND(F541&lt;&gt;"",NOT(ISNUMBER(F541))),"Cantidad no es número",IF(N(F541)&lt;=0,"Falta cantidad",IF(OR(AND(G541&lt;&gt;"",NOT(ISNUMBER(G541))),AND(H541&lt;&gt;"",NOT(ISNUMBER(H541)))),"Precio no es número",IF(N(G541)+N(H541)&lt;=0,"Falta precio","✓ OK")))))))))))</f>
        <v/>
      </c>
      <c r="M541" t="str">
        <f>IF(N541&lt;&gt;"W","",IF(TRIM(C541)&lt;&gt;"",TRIM(C541),IFERROR(LOOKUP(2,1/(N$9:N541="T"),D$9:D541),"")))</f>
        <v/>
      </c>
      <c r="N541" t="str">
        <f t="shared" si="26"/>
        <v/>
      </c>
      <c r="O541" t="str">
        <f>IF(M541="","",IF(COUNTIF(M$9:M541,M541)=1,MAX(O$8:O540)+1,""))</f>
        <v/>
      </c>
    </row>
    <row r="542" spans="1:15" x14ac:dyDescent="0.75">
      <c r="A542" s="24" t="str">
        <f>IF(N542="W",COUNTIF(N$9:N542,"W"),"")</f>
        <v/>
      </c>
      <c r="B542" s="25"/>
      <c r="C542" s="25"/>
      <c r="D542" s="26"/>
      <c r="E542" s="25"/>
      <c r="F542" s="27"/>
      <c r="G542" s="28"/>
      <c r="H542" s="28"/>
      <c r="I542" s="29" t="str">
        <f t="shared" si="24"/>
        <v/>
      </c>
      <c r="J542" s="30" t="str">
        <f t="shared" si="25"/>
        <v/>
      </c>
      <c r="K542" s="26"/>
      <c r="L542" s="24" t="str">
        <f>IF(N542="","",IF(N542="T","Título de capítulo",IF(OR(ISERROR(F542),ISERROR(G542),ISERROR(H542)),"Error en fórmula: pegá como valores",IF(AND(B542="",$C$6=""),"Falta sector",IF(M542="","Falta capítulo",IF(TRIM(E542)="","Falta unidad",IF(NOT((COUNTIF(Listas!$A$2:$A$40,E542)+COUNTIF(Listas!$D$2:$D$60,E542)&gt;0)),"Unidad no reconocida",IF(AND(F542&lt;&gt;"",NOT(ISNUMBER(F542))),"Cantidad no es número",IF(N(F542)&lt;=0,"Falta cantidad",IF(OR(AND(G542&lt;&gt;"",NOT(ISNUMBER(G542))),AND(H542&lt;&gt;"",NOT(ISNUMBER(H542)))),"Precio no es número",IF(N(G542)+N(H542)&lt;=0,"Falta precio","✓ OK")))))))))))</f>
        <v/>
      </c>
      <c r="M542" t="str">
        <f>IF(N542&lt;&gt;"W","",IF(TRIM(C542)&lt;&gt;"",TRIM(C542),IFERROR(LOOKUP(2,1/(N$9:N542="T"),D$9:D542),"")))</f>
        <v/>
      </c>
      <c r="N542" t="str">
        <f t="shared" si="26"/>
        <v/>
      </c>
      <c r="O542" t="str">
        <f>IF(M542="","",IF(COUNTIF(M$9:M542,M542)=1,MAX(O$8:O541)+1,""))</f>
        <v/>
      </c>
    </row>
    <row r="543" spans="1:15" x14ac:dyDescent="0.75">
      <c r="A543" s="24" t="str">
        <f>IF(N543="W",COUNTIF(N$9:N543,"W"),"")</f>
        <v/>
      </c>
      <c r="B543" s="25"/>
      <c r="C543" s="25"/>
      <c r="D543" s="26"/>
      <c r="E543" s="25"/>
      <c r="F543" s="27"/>
      <c r="G543" s="28"/>
      <c r="H543" s="28"/>
      <c r="I543" s="29" t="str">
        <f t="shared" si="24"/>
        <v/>
      </c>
      <c r="J543" s="30" t="str">
        <f t="shared" si="25"/>
        <v/>
      </c>
      <c r="K543" s="26"/>
      <c r="L543" s="24" t="str">
        <f>IF(N543="","",IF(N543="T","Título de capítulo",IF(OR(ISERROR(F543),ISERROR(G543),ISERROR(H543)),"Error en fórmula: pegá como valores",IF(AND(B543="",$C$6=""),"Falta sector",IF(M543="","Falta capítulo",IF(TRIM(E543)="","Falta unidad",IF(NOT((COUNTIF(Listas!$A$2:$A$40,E543)+COUNTIF(Listas!$D$2:$D$60,E543)&gt;0)),"Unidad no reconocida",IF(AND(F543&lt;&gt;"",NOT(ISNUMBER(F543))),"Cantidad no es número",IF(N(F543)&lt;=0,"Falta cantidad",IF(OR(AND(G543&lt;&gt;"",NOT(ISNUMBER(G543))),AND(H543&lt;&gt;"",NOT(ISNUMBER(H543)))),"Precio no es número",IF(N(G543)+N(H543)&lt;=0,"Falta precio","✓ OK")))))))))))</f>
        <v/>
      </c>
      <c r="M543" t="str">
        <f>IF(N543&lt;&gt;"W","",IF(TRIM(C543)&lt;&gt;"",TRIM(C543),IFERROR(LOOKUP(2,1/(N$9:N543="T"),D$9:D543),"")))</f>
        <v/>
      </c>
      <c r="N543" t="str">
        <f t="shared" si="26"/>
        <v/>
      </c>
      <c r="O543" t="str">
        <f>IF(M543="","",IF(COUNTIF(M$9:M543,M543)=1,MAX(O$8:O542)+1,""))</f>
        <v/>
      </c>
    </row>
    <row r="544" spans="1:15" x14ac:dyDescent="0.75">
      <c r="A544" s="24" t="str">
        <f>IF(N544="W",COUNTIF(N$9:N544,"W"),"")</f>
        <v/>
      </c>
      <c r="B544" s="25"/>
      <c r="C544" s="25"/>
      <c r="D544" s="26"/>
      <c r="E544" s="25"/>
      <c r="F544" s="27"/>
      <c r="G544" s="28"/>
      <c r="H544" s="28"/>
      <c r="I544" s="29" t="str">
        <f t="shared" si="24"/>
        <v/>
      </c>
      <c r="J544" s="30" t="str">
        <f t="shared" si="25"/>
        <v/>
      </c>
      <c r="K544" s="26"/>
      <c r="L544" s="24" t="str">
        <f>IF(N544="","",IF(N544="T","Título de capítulo",IF(OR(ISERROR(F544),ISERROR(G544),ISERROR(H544)),"Error en fórmula: pegá como valores",IF(AND(B544="",$C$6=""),"Falta sector",IF(M544="","Falta capítulo",IF(TRIM(E544)="","Falta unidad",IF(NOT((COUNTIF(Listas!$A$2:$A$40,E544)+COUNTIF(Listas!$D$2:$D$60,E544)&gt;0)),"Unidad no reconocida",IF(AND(F544&lt;&gt;"",NOT(ISNUMBER(F544))),"Cantidad no es número",IF(N(F544)&lt;=0,"Falta cantidad",IF(OR(AND(G544&lt;&gt;"",NOT(ISNUMBER(G544))),AND(H544&lt;&gt;"",NOT(ISNUMBER(H544)))),"Precio no es número",IF(N(G544)+N(H544)&lt;=0,"Falta precio","✓ OK")))))))))))</f>
        <v/>
      </c>
      <c r="M544" t="str">
        <f>IF(N544&lt;&gt;"W","",IF(TRIM(C544)&lt;&gt;"",TRIM(C544),IFERROR(LOOKUP(2,1/(N$9:N544="T"),D$9:D544),"")))</f>
        <v/>
      </c>
      <c r="N544" t="str">
        <f t="shared" si="26"/>
        <v/>
      </c>
      <c r="O544" t="str">
        <f>IF(M544="","",IF(COUNTIF(M$9:M544,M544)=1,MAX(O$8:O543)+1,""))</f>
        <v/>
      </c>
    </row>
    <row r="545" spans="1:15" x14ac:dyDescent="0.75">
      <c r="A545" s="24" t="str">
        <f>IF(N545="W",COUNTIF(N$9:N545,"W"),"")</f>
        <v/>
      </c>
      <c r="B545" s="25"/>
      <c r="C545" s="25"/>
      <c r="D545" s="26"/>
      <c r="E545" s="25"/>
      <c r="F545" s="27"/>
      <c r="G545" s="28"/>
      <c r="H545" s="28"/>
      <c r="I545" s="29" t="str">
        <f t="shared" si="24"/>
        <v/>
      </c>
      <c r="J545" s="30" t="str">
        <f t="shared" si="25"/>
        <v/>
      </c>
      <c r="K545" s="26"/>
      <c r="L545" s="24" t="str">
        <f>IF(N545="","",IF(N545="T","Título de capítulo",IF(OR(ISERROR(F545),ISERROR(G545),ISERROR(H545)),"Error en fórmula: pegá como valores",IF(AND(B545="",$C$6=""),"Falta sector",IF(M545="","Falta capítulo",IF(TRIM(E545)="","Falta unidad",IF(NOT((COUNTIF(Listas!$A$2:$A$40,E545)+COUNTIF(Listas!$D$2:$D$60,E545)&gt;0)),"Unidad no reconocida",IF(AND(F545&lt;&gt;"",NOT(ISNUMBER(F545))),"Cantidad no es número",IF(N(F545)&lt;=0,"Falta cantidad",IF(OR(AND(G545&lt;&gt;"",NOT(ISNUMBER(G545))),AND(H545&lt;&gt;"",NOT(ISNUMBER(H545)))),"Precio no es número",IF(N(G545)+N(H545)&lt;=0,"Falta precio","✓ OK")))))))))))</f>
        <v/>
      </c>
      <c r="M545" t="str">
        <f>IF(N545&lt;&gt;"W","",IF(TRIM(C545)&lt;&gt;"",TRIM(C545),IFERROR(LOOKUP(2,1/(N$9:N545="T"),D$9:D545),"")))</f>
        <v/>
      </c>
      <c r="N545" t="str">
        <f t="shared" si="26"/>
        <v/>
      </c>
      <c r="O545" t="str">
        <f>IF(M545="","",IF(COUNTIF(M$9:M545,M545)=1,MAX(O$8:O544)+1,""))</f>
        <v/>
      </c>
    </row>
    <row r="546" spans="1:15" x14ac:dyDescent="0.75">
      <c r="A546" s="24" t="str">
        <f>IF(N546="W",COUNTIF(N$9:N546,"W"),"")</f>
        <v/>
      </c>
      <c r="B546" s="25"/>
      <c r="C546" s="25"/>
      <c r="D546" s="26"/>
      <c r="E546" s="25"/>
      <c r="F546" s="27"/>
      <c r="G546" s="28"/>
      <c r="H546" s="28"/>
      <c r="I546" s="29" t="str">
        <f t="shared" si="24"/>
        <v/>
      </c>
      <c r="J546" s="30" t="str">
        <f t="shared" si="25"/>
        <v/>
      </c>
      <c r="K546" s="26"/>
      <c r="L546" s="24" t="str">
        <f>IF(N546="","",IF(N546="T","Título de capítulo",IF(OR(ISERROR(F546),ISERROR(G546),ISERROR(H546)),"Error en fórmula: pegá como valores",IF(AND(B546="",$C$6=""),"Falta sector",IF(M546="","Falta capítulo",IF(TRIM(E546)="","Falta unidad",IF(NOT((COUNTIF(Listas!$A$2:$A$40,E546)+COUNTIF(Listas!$D$2:$D$60,E546)&gt;0)),"Unidad no reconocida",IF(AND(F546&lt;&gt;"",NOT(ISNUMBER(F546))),"Cantidad no es número",IF(N(F546)&lt;=0,"Falta cantidad",IF(OR(AND(G546&lt;&gt;"",NOT(ISNUMBER(G546))),AND(H546&lt;&gt;"",NOT(ISNUMBER(H546)))),"Precio no es número",IF(N(G546)+N(H546)&lt;=0,"Falta precio","✓ OK")))))))))))</f>
        <v/>
      </c>
      <c r="M546" t="str">
        <f>IF(N546&lt;&gt;"W","",IF(TRIM(C546)&lt;&gt;"",TRIM(C546),IFERROR(LOOKUP(2,1/(N$9:N546="T"),D$9:D546),"")))</f>
        <v/>
      </c>
      <c r="N546" t="str">
        <f t="shared" si="26"/>
        <v/>
      </c>
      <c r="O546" t="str">
        <f>IF(M546="","",IF(COUNTIF(M$9:M546,M546)=1,MAX(O$8:O545)+1,""))</f>
        <v/>
      </c>
    </row>
    <row r="547" spans="1:15" x14ac:dyDescent="0.75">
      <c r="A547" s="24" t="str">
        <f>IF(N547="W",COUNTIF(N$9:N547,"W"),"")</f>
        <v/>
      </c>
      <c r="B547" s="25"/>
      <c r="C547" s="25"/>
      <c r="D547" s="26"/>
      <c r="E547" s="25"/>
      <c r="F547" s="27"/>
      <c r="G547" s="28"/>
      <c r="H547" s="28"/>
      <c r="I547" s="29" t="str">
        <f t="shared" si="24"/>
        <v/>
      </c>
      <c r="J547" s="30" t="str">
        <f t="shared" si="25"/>
        <v/>
      </c>
      <c r="K547" s="26"/>
      <c r="L547" s="24" t="str">
        <f>IF(N547="","",IF(N547="T","Título de capítulo",IF(OR(ISERROR(F547),ISERROR(G547),ISERROR(H547)),"Error en fórmula: pegá como valores",IF(AND(B547="",$C$6=""),"Falta sector",IF(M547="","Falta capítulo",IF(TRIM(E547)="","Falta unidad",IF(NOT((COUNTIF(Listas!$A$2:$A$40,E547)+COUNTIF(Listas!$D$2:$D$60,E547)&gt;0)),"Unidad no reconocida",IF(AND(F547&lt;&gt;"",NOT(ISNUMBER(F547))),"Cantidad no es número",IF(N(F547)&lt;=0,"Falta cantidad",IF(OR(AND(G547&lt;&gt;"",NOT(ISNUMBER(G547))),AND(H547&lt;&gt;"",NOT(ISNUMBER(H547)))),"Precio no es número",IF(N(G547)+N(H547)&lt;=0,"Falta precio","✓ OK")))))))))))</f>
        <v/>
      </c>
      <c r="M547" t="str">
        <f>IF(N547&lt;&gt;"W","",IF(TRIM(C547)&lt;&gt;"",TRIM(C547),IFERROR(LOOKUP(2,1/(N$9:N547="T"),D$9:D547),"")))</f>
        <v/>
      </c>
      <c r="N547" t="str">
        <f t="shared" si="26"/>
        <v/>
      </c>
      <c r="O547" t="str">
        <f>IF(M547="","",IF(COUNTIF(M$9:M547,M547)=1,MAX(O$8:O546)+1,""))</f>
        <v/>
      </c>
    </row>
    <row r="548" spans="1:15" x14ac:dyDescent="0.75">
      <c r="A548" s="24" t="str">
        <f>IF(N548="W",COUNTIF(N$9:N548,"W"),"")</f>
        <v/>
      </c>
      <c r="B548" s="25"/>
      <c r="C548" s="25"/>
      <c r="D548" s="26"/>
      <c r="E548" s="25"/>
      <c r="F548" s="27"/>
      <c r="G548" s="28"/>
      <c r="H548" s="28"/>
      <c r="I548" s="29" t="str">
        <f t="shared" si="24"/>
        <v/>
      </c>
      <c r="J548" s="30" t="str">
        <f t="shared" si="25"/>
        <v/>
      </c>
      <c r="K548" s="26"/>
      <c r="L548" s="24" t="str">
        <f>IF(N548="","",IF(N548="T","Título de capítulo",IF(OR(ISERROR(F548),ISERROR(G548),ISERROR(H548)),"Error en fórmula: pegá como valores",IF(AND(B548="",$C$6=""),"Falta sector",IF(M548="","Falta capítulo",IF(TRIM(E548)="","Falta unidad",IF(NOT((COUNTIF(Listas!$A$2:$A$40,E548)+COUNTIF(Listas!$D$2:$D$60,E548)&gt;0)),"Unidad no reconocida",IF(AND(F548&lt;&gt;"",NOT(ISNUMBER(F548))),"Cantidad no es número",IF(N(F548)&lt;=0,"Falta cantidad",IF(OR(AND(G548&lt;&gt;"",NOT(ISNUMBER(G548))),AND(H548&lt;&gt;"",NOT(ISNUMBER(H548)))),"Precio no es número",IF(N(G548)+N(H548)&lt;=0,"Falta precio","✓ OK")))))))))))</f>
        <v/>
      </c>
      <c r="M548" t="str">
        <f>IF(N548&lt;&gt;"W","",IF(TRIM(C548)&lt;&gt;"",TRIM(C548),IFERROR(LOOKUP(2,1/(N$9:N548="T"),D$9:D548),"")))</f>
        <v/>
      </c>
      <c r="N548" t="str">
        <f t="shared" si="26"/>
        <v/>
      </c>
      <c r="O548" t="str">
        <f>IF(M548="","",IF(COUNTIF(M$9:M548,M548)=1,MAX(O$8:O547)+1,""))</f>
        <v/>
      </c>
    </row>
    <row r="549" spans="1:15" x14ac:dyDescent="0.75">
      <c r="A549" s="24" t="str">
        <f>IF(N549="W",COUNTIF(N$9:N549,"W"),"")</f>
        <v/>
      </c>
      <c r="B549" s="25"/>
      <c r="C549" s="25"/>
      <c r="D549" s="26"/>
      <c r="E549" s="25"/>
      <c r="F549" s="27"/>
      <c r="G549" s="28"/>
      <c r="H549" s="28"/>
      <c r="I549" s="29" t="str">
        <f t="shared" si="24"/>
        <v/>
      </c>
      <c r="J549" s="30" t="str">
        <f t="shared" si="25"/>
        <v/>
      </c>
      <c r="K549" s="26"/>
      <c r="L549" s="24" t="str">
        <f>IF(N549="","",IF(N549="T","Título de capítulo",IF(OR(ISERROR(F549),ISERROR(G549),ISERROR(H549)),"Error en fórmula: pegá como valores",IF(AND(B549="",$C$6=""),"Falta sector",IF(M549="","Falta capítulo",IF(TRIM(E549)="","Falta unidad",IF(NOT((COUNTIF(Listas!$A$2:$A$40,E549)+COUNTIF(Listas!$D$2:$D$60,E549)&gt;0)),"Unidad no reconocida",IF(AND(F549&lt;&gt;"",NOT(ISNUMBER(F549))),"Cantidad no es número",IF(N(F549)&lt;=0,"Falta cantidad",IF(OR(AND(G549&lt;&gt;"",NOT(ISNUMBER(G549))),AND(H549&lt;&gt;"",NOT(ISNUMBER(H549)))),"Precio no es número",IF(N(G549)+N(H549)&lt;=0,"Falta precio","✓ OK")))))))))))</f>
        <v/>
      </c>
      <c r="M549" t="str">
        <f>IF(N549&lt;&gt;"W","",IF(TRIM(C549)&lt;&gt;"",TRIM(C549),IFERROR(LOOKUP(2,1/(N$9:N549="T"),D$9:D549),"")))</f>
        <v/>
      </c>
      <c r="N549" t="str">
        <f t="shared" si="26"/>
        <v/>
      </c>
      <c r="O549" t="str">
        <f>IF(M549="","",IF(COUNTIF(M$9:M549,M549)=1,MAX(O$8:O548)+1,""))</f>
        <v/>
      </c>
    </row>
    <row r="550" spans="1:15" x14ac:dyDescent="0.75">
      <c r="A550" s="24" t="str">
        <f>IF(N550="W",COUNTIF(N$9:N550,"W"),"")</f>
        <v/>
      </c>
      <c r="B550" s="25"/>
      <c r="C550" s="25"/>
      <c r="D550" s="26"/>
      <c r="E550" s="25"/>
      <c r="F550" s="27"/>
      <c r="G550" s="28"/>
      <c r="H550" s="28"/>
      <c r="I550" s="29" t="str">
        <f t="shared" si="24"/>
        <v/>
      </c>
      <c r="J550" s="30" t="str">
        <f t="shared" si="25"/>
        <v/>
      </c>
      <c r="K550" s="26"/>
      <c r="L550" s="24" t="str">
        <f>IF(N550="","",IF(N550="T","Título de capítulo",IF(OR(ISERROR(F550),ISERROR(G550),ISERROR(H550)),"Error en fórmula: pegá como valores",IF(AND(B550="",$C$6=""),"Falta sector",IF(M550="","Falta capítulo",IF(TRIM(E550)="","Falta unidad",IF(NOT((COUNTIF(Listas!$A$2:$A$40,E550)+COUNTIF(Listas!$D$2:$D$60,E550)&gt;0)),"Unidad no reconocida",IF(AND(F550&lt;&gt;"",NOT(ISNUMBER(F550))),"Cantidad no es número",IF(N(F550)&lt;=0,"Falta cantidad",IF(OR(AND(G550&lt;&gt;"",NOT(ISNUMBER(G550))),AND(H550&lt;&gt;"",NOT(ISNUMBER(H550)))),"Precio no es número",IF(N(G550)+N(H550)&lt;=0,"Falta precio","✓ OK")))))))))))</f>
        <v/>
      </c>
      <c r="M550" t="str">
        <f>IF(N550&lt;&gt;"W","",IF(TRIM(C550)&lt;&gt;"",TRIM(C550),IFERROR(LOOKUP(2,1/(N$9:N550="T"),D$9:D550),"")))</f>
        <v/>
      </c>
      <c r="N550" t="str">
        <f t="shared" si="26"/>
        <v/>
      </c>
      <c r="O550" t="str">
        <f>IF(M550="","",IF(COUNTIF(M$9:M550,M550)=1,MAX(O$8:O549)+1,""))</f>
        <v/>
      </c>
    </row>
    <row r="551" spans="1:15" x14ac:dyDescent="0.75">
      <c r="A551" s="24" t="str">
        <f>IF(N551="W",COUNTIF(N$9:N551,"W"),"")</f>
        <v/>
      </c>
      <c r="B551" s="25"/>
      <c r="C551" s="25"/>
      <c r="D551" s="26"/>
      <c r="E551" s="25"/>
      <c r="F551" s="27"/>
      <c r="G551" s="28"/>
      <c r="H551" s="28"/>
      <c r="I551" s="29" t="str">
        <f t="shared" si="24"/>
        <v/>
      </c>
      <c r="J551" s="30" t="str">
        <f t="shared" si="25"/>
        <v/>
      </c>
      <c r="K551" s="26"/>
      <c r="L551" s="24" t="str">
        <f>IF(N551="","",IF(N551="T","Título de capítulo",IF(OR(ISERROR(F551),ISERROR(G551),ISERROR(H551)),"Error en fórmula: pegá como valores",IF(AND(B551="",$C$6=""),"Falta sector",IF(M551="","Falta capítulo",IF(TRIM(E551)="","Falta unidad",IF(NOT((COUNTIF(Listas!$A$2:$A$40,E551)+COUNTIF(Listas!$D$2:$D$60,E551)&gt;0)),"Unidad no reconocida",IF(AND(F551&lt;&gt;"",NOT(ISNUMBER(F551))),"Cantidad no es número",IF(N(F551)&lt;=0,"Falta cantidad",IF(OR(AND(G551&lt;&gt;"",NOT(ISNUMBER(G551))),AND(H551&lt;&gt;"",NOT(ISNUMBER(H551)))),"Precio no es número",IF(N(G551)+N(H551)&lt;=0,"Falta precio","✓ OK")))))))))))</f>
        <v/>
      </c>
      <c r="M551" t="str">
        <f>IF(N551&lt;&gt;"W","",IF(TRIM(C551)&lt;&gt;"",TRIM(C551),IFERROR(LOOKUP(2,1/(N$9:N551="T"),D$9:D551),"")))</f>
        <v/>
      </c>
      <c r="N551" t="str">
        <f t="shared" si="26"/>
        <v/>
      </c>
      <c r="O551" t="str">
        <f>IF(M551="","",IF(COUNTIF(M$9:M551,M551)=1,MAX(O$8:O550)+1,""))</f>
        <v/>
      </c>
    </row>
    <row r="552" spans="1:15" x14ac:dyDescent="0.75">
      <c r="A552" s="24" t="str">
        <f>IF(N552="W",COUNTIF(N$9:N552,"W"),"")</f>
        <v/>
      </c>
      <c r="B552" s="25"/>
      <c r="C552" s="25"/>
      <c r="D552" s="26"/>
      <c r="E552" s="25"/>
      <c r="F552" s="27"/>
      <c r="G552" s="28"/>
      <c r="H552" s="28"/>
      <c r="I552" s="29" t="str">
        <f t="shared" si="24"/>
        <v/>
      </c>
      <c r="J552" s="30" t="str">
        <f t="shared" si="25"/>
        <v/>
      </c>
      <c r="K552" s="26"/>
      <c r="L552" s="24" t="str">
        <f>IF(N552="","",IF(N552="T","Título de capítulo",IF(OR(ISERROR(F552),ISERROR(G552),ISERROR(H552)),"Error en fórmula: pegá como valores",IF(AND(B552="",$C$6=""),"Falta sector",IF(M552="","Falta capítulo",IF(TRIM(E552)="","Falta unidad",IF(NOT((COUNTIF(Listas!$A$2:$A$40,E552)+COUNTIF(Listas!$D$2:$D$60,E552)&gt;0)),"Unidad no reconocida",IF(AND(F552&lt;&gt;"",NOT(ISNUMBER(F552))),"Cantidad no es número",IF(N(F552)&lt;=0,"Falta cantidad",IF(OR(AND(G552&lt;&gt;"",NOT(ISNUMBER(G552))),AND(H552&lt;&gt;"",NOT(ISNUMBER(H552)))),"Precio no es número",IF(N(G552)+N(H552)&lt;=0,"Falta precio","✓ OK")))))))))))</f>
        <v/>
      </c>
      <c r="M552" t="str">
        <f>IF(N552&lt;&gt;"W","",IF(TRIM(C552)&lt;&gt;"",TRIM(C552),IFERROR(LOOKUP(2,1/(N$9:N552="T"),D$9:D552),"")))</f>
        <v/>
      </c>
      <c r="N552" t="str">
        <f t="shared" si="26"/>
        <v/>
      </c>
      <c r="O552" t="str">
        <f>IF(M552="","",IF(COUNTIF(M$9:M552,M552)=1,MAX(O$8:O551)+1,""))</f>
        <v/>
      </c>
    </row>
    <row r="553" spans="1:15" x14ac:dyDescent="0.75">
      <c r="A553" s="24" t="str">
        <f>IF(N553="W",COUNTIF(N$9:N553,"W"),"")</f>
        <v/>
      </c>
      <c r="B553" s="25"/>
      <c r="C553" s="25"/>
      <c r="D553" s="26"/>
      <c r="E553" s="25"/>
      <c r="F553" s="27"/>
      <c r="G553" s="28"/>
      <c r="H553" s="28"/>
      <c r="I553" s="29" t="str">
        <f t="shared" si="24"/>
        <v/>
      </c>
      <c r="J553" s="30" t="str">
        <f t="shared" si="25"/>
        <v/>
      </c>
      <c r="K553" s="26"/>
      <c r="L553" s="24" t="str">
        <f>IF(N553="","",IF(N553="T","Título de capítulo",IF(OR(ISERROR(F553),ISERROR(G553),ISERROR(H553)),"Error en fórmula: pegá como valores",IF(AND(B553="",$C$6=""),"Falta sector",IF(M553="","Falta capítulo",IF(TRIM(E553)="","Falta unidad",IF(NOT((COUNTIF(Listas!$A$2:$A$40,E553)+COUNTIF(Listas!$D$2:$D$60,E553)&gt;0)),"Unidad no reconocida",IF(AND(F553&lt;&gt;"",NOT(ISNUMBER(F553))),"Cantidad no es número",IF(N(F553)&lt;=0,"Falta cantidad",IF(OR(AND(G553&lt;&gt;"",NOT(ISNUMBER(G553))),AND(H553&lt;&gt;"",NOT(ISNUMBER(H553)))),"Precio no es número",IF(N(G553)+N(H553)&lt;=0,"Falta precio","✓ OK")))))))))))</f>
        <v/>
      </c>
      <c r="M553" t="str">
        <f>IF(N553&lt;&gt;"W","",IF(TRIM(C553)&lt;&gt;"",TRIM(C553),IFERROR(LOOKUP(2,1/(N$9:N553="T"),D$9:D553),"")))</f>
        <v/>
      </c>
      <c r="N553" t="str">
        <f t="shared" si="26"/>
        <v/>
      </c>
      <c r="O553" t="str">
        <f>IF(M553="","",IF(COUNTIF(M$9:M553,M553)=1,MAX(O$8:O552)+1,""))</f>
        <v/>
      </c>
    </row>
    <row r="554" spans="1:15" x14ac:dyDescent="0.75">
      <c r="A554" s="24" t="str">
        <f>IF(N554="W",COUNTIF(N$9:N554,"W"),"")</f>
        <v/>
      </c>
      <c r="B554" s="25"/>
      <c r="C554" s="25"/>
      <c r="D554" s="26"/>
      <c r="E554" s="25"/>
      <c r="F554" s="27"/>
      <c r="G554" s="28"/>
      <c r="H554" s="28"/>
      <c r="I554" s="29" t="str">
        <f t="shared" si="24"/>
        <v/>
      </c>
      <c r="J554" s="30" t="str">
        <f t="shared" si="25"/>
        <v/>
      </c>
      <c r="K554" s="26"/>
      <c r="L554" s="24" t="str">
        <f>IF(N554="","",IF(N554="T","Título de capítulo",IF(OR(ISERROR(F554),ISERROR(G554),ISERROR(H554)),"Error en fórmula: pegá como valores",IF(AND(B554="",$C$6=""),"Falta sector",IF(M554="","Falta capítulo",IF(TRIM(E554)="","Falta unidad",IF(NOT((COUNTIF(Listas!$A$2:$A$40,E554)+COUNTIF(Listas!$D$2:$D$60,E554)&gt;0)),"Unidad no reconocida",IF(AND(F554&lt;&gt;"",NOT(ISNUMBER(F554))),"Cantidad no es número",IF(N(F554)&lt;=0,"Falta cantidad",IF(OR(AND(G554&lt;&gt;"",NOT(ISNUMBER(G554))),AND(H554&lt;&gt;"",NOT(ISNUMBER(H554)))),"Precio no es número",IF(N(G554)+N(H554)&lt;=0,"Falta precio","✓ OK")))))))))))</f>
        <v/>
      </c>
      <c r="M554" t="str">
        <f>IF(N554&lt;&gt;"W","",IF(TRIM(C554)&lt;&gt;"",TRIM(C554),IFERROR(LOOKUP(2,1/(N$9:N554="T"),D$9:D554),"")))</f>
        <v/>
      </c>
      <c r="N554" t="str">
        <f t="shared" si="26"/>
        <v/>
      </c>
      <c r="O554" t="str">
        <f>IF(M554="","",IF(COUNTIF(M$9:M554,M554)=1,MAX(O$8:O553)+1,""))</f>
        <v/>
      </c>
    </row>
    <row r="555" spans="1:15" x14ac:dyDescent="0.75">
      <c r="A555" s="24" t="str">
        <f>IF(N555="W",COUNTIF(N$9:N555,"W"),"")</f>
        <v/>
      </c>
      <c r="B555" s="25"/>
      <c r="C555" s="25"/>
      <c r="D555" s="26"/>
      <c r="E555" s="25"/>
      <c r="F555" s="27"/>
      <c r="G555" s="28"/>
      <c r="H555" s="28"/>
      <c r="I555" s="29" t="str">
        <f t="shared" si="24"/>
        <v/>
      </c>
      <c r="J555" s="30" t="str">
        <f t="shared" si="25"/>
        <v/>
      </c>
      <c r="K555" s="26"/>
      <c r="L555" s="24" t="str">
        <f>IF(N555="","",IF(N555="T","Título de capítulo",IF(OR(ISERROR(F555),ISERROR(G555),ISERROR(H555)),"Error en fórmula: pegá como valores",IF(AND(B555="",$C$6=""),"Falta sector",IF(M555="","Falta capítulo",IF(TRIM(E555)="","Falta unidad",IF(NOT((COUNTIF(Listas!$A$2:$A$40,E555)+COUNTIF(Listas!$D$2:$D$60,E555)&gt;0)),"Unidad no reconocida",IF(AND(F555&lt;&gt;"",NOT(ISNUMBER(F555))),"Cantidad no es número",IF(N(F555)&lt;=0,"Falta cantidad",IF(OR(AND(G555&lt;&gt;"",NOT(ISNUMBER(G555))),AND(H555&lt;&gt;"",NOT(ISNUMBER(H555)))),"Precio no es número",IF(N(G555)+N(H555)&lt;=0,"Falta precio","✓ OK")))))))))))</f>
        <v/>
      </c>
      <c r="M555" t="str">
        <f>IF(N555&lt;&gt;"W","",IF(TRIM(C555)&lt;&gt;"",TRIM(C555),IFERROR(LOOKUP(2,1/(N$9:N555="T"),D$9:D555),"")))</f>
        <v/>
      </c>
      <c r="N555" t="str">
        <f t="shared" si="26"/>
        <v/>
      </c>
      <c r="O555" t="str">
        <f>IF(M555="","",IF(COUNTIF(M$9:M555,M555)=1,MAX(O$8:O554)+1,""))</f>
        <v/>
      </c>
    </row>
    <row r="556" spans="1:15" x14ac:dyDescent="0.75">
      <c r="A556" s="24" t="str">
        <f>IF(N556="W",COUNTIF(N$9:N556,"W"),"")</f>
        <v/>
      </c>
      <c r="B556" s="25"/>
      <c r="C556" s="25"/>
      <c r="D556" s="26"/>
      <c r="E556" s="25"/>
      <c r="F556" s="27"/>
      <c r="G556" s="28"/>
      <c r="H556" s="28"/>
      <c r="I556" s="29" t="str">
        <f t="shared" si="24"/>
        <v/>
      </c>
      <c r="J556" s="30" t="str">
        <f t="shared" si="25"/>
        <v/>
      </c>
      <c r="K556" s="26"/>
      <c r="L556" s="24" t="str">
        <f>IF(N556="","",IF(N556="T","Título de capítulo",IF(OR(ISERROR(F556),ISERROR(G556),ISERROR(H556)),"Error en fórmula: pegá como valores",IF(AND(B556="",$C$6=""),"Falta sector",IF(M556="","Falta capítulo",IF(TRIM(E556)="","Falta unidad",IF(NOT((COUNTIF(Listas!$A$2:$A$40,E556)+COUNTIF(Listas!$D$2:$D$60,E556)&gt;0)),"Unidad no reconocida",IF(AND(F556&lt;&gt;"",NOT(ISNUMBER(F556))),"Cantidad no es número",IF(N(F556)&lt;=0,"Falta cantidad",IF(OR(AND(G556&lt;&gt;"",NOT(ISNUMBER(G556))),AND(H556&lt;&gt;"",NOT(ISNUMBER(H556)))),"Precio no es número",IF(N(G556)+N(H556)&lt;=0,"Falta precio","✓ OK")))))))))))</f>
        <v/>
      </c>
      <c r="M556" t="str">
        <f>IF(N556&lt;&gt;"W","",IF(TRIM(C556)&lt;&gt;"",TRIM(C556),IFERROR(LOOKUP(2,1/(N$9:N556="T"),D$9:D556),"")))</f>
        <v/>
      </c>
      <c r="N556" t="str">
        <f t="shared" si="26"/>
        <v/>
      </c>
      <c r="O556" t="str">
        <f>IF(M556="","",IF(COUNTIF(M$9:M556,M556)=1,MAX(O$8:O555)+1,""))</f>
        <v/>
      </c>
    </row>
    <row r="557" spans="1:15" x14ac:dyDescent="0.75">
      <c r="A557" s="24" t="str">
        <f>IF(N557="W",COUNTIF(N$9:N557,"W"),"")</f>
        <v/>
      </c>
      <c r="B557" s="25"/>
      <c r="C557" s="25"/>
      <c r="D557" s="26"/>
      <c r="E557" s="25"/>
      <c r="F557" s="27"/>
      <c r="G557" s="28"/>
      <c r="H557" s="28"/>
      <c r="I557" s="29" t="str">
        <f t="shared" si="24"/>
        <v/>
      </c>
      <c r="J557" s="30" t="str">
        <f t="shared" si="25"/>
        <v/>
      </c>
      <c r="K557" s="26"/>
      <c r="L557" s="24" t="str">
        <f>IF(N557="","",IF(N557="T","Título de capítulo",IF(OR(ISERROR(F557),ISERROR(G557),ISERROR(H557)),"Error en fórmula: pegá como valores",IF(AND(B557="",$C$6=""),"Falta sector",IF(M557="","Falta capítulo",IF(TRIM(E557)="","Falta unidad",IF(NOT((COUNTIF(Listas!$A$2:$A$40,E557)+COUNTIF(Listas!$D$2:$D$60,E557)&gt;0)),"Unidad no reconocida",IF(AND(F557&lt;&gt;"",NOT(ISNUMBER(F557))),"Cantidad no es número",IF(N(F557)&lt;=0,"Falta cantidad",IF(OR(AND(G557&lt;&gt;"",NOT(ISNUMBER(G557))),AND(H557&lt;&gt;"",NOT(ISNUMBER(H557)))),"Precio no es número",IF(N(G557)+N(H557)&lt;=0,"Falta precio","✓ OK")))))))))))</f>
        <v/>
      </c>
      <c r="M557" t="str">
        <f>IF(N557&lt;&gt;"W","",IF(TRIM(C557)&lt;&gt;"",TRIM(C557),IFERROR(LOOKUP(2,1/(N$9:N557="T"),D$9:D557),"")))</f>
        <v/>
      </c>
      <c r="N557" t="str">
        <f t="shared" si="26"/>
        <v/>
      </c>
      <c r="O557" t="str">
        <f>IF(M557="","",IF(COUNTIF(M$9:M557,M557)=1,MAX(O$8:O556)+1,""))</f>
        <v/>
      </c>
    </row>
    <row r="558" spans="1:15" x14ac:dyDescent="0.75">
      <c r="A558" s="24" t="str">
        <f>IF(N558="W",COUNTIF(N$9:N558,"W"),"")</f>
        <v/>
      </c>
      <c r="B558" s="25"/>
      <c r="C558" s="25"/>
      <c r="D558" s="26"/>
      <c r="E558" s="25"/>
      <c r="F558" s="27"/>
      <c r="G558" s="28"/>
      <c r="H558" s="28"/>
      <c r="I558" s="29" t="str">
        <f t="shared" si="24"/>
        <v/>
      </c>
      <c r="J558" s="30" t="str">
        <f t="shared" si="25"/>
        <v/>
      </c>
      <c r="K558" s="26"/>
      <c r="L558" s="24" t="str">
        <f>IF(N558="","",IF(N558="T","Título de capítulo",IF(OR(ISERROR(F558),ISERROR(G558),ISERROR(H558)),"Error en fórmula: pegá como valores",IF(AND(B558="",$C$6=""),"Falta sector",IF(M558="","Falta capítulo",IF(TRIM(E558)="","Falta unidad",IF(NOT((COUNTIF(Listas!$A$2:$A$40,E558)+COUNTIF(Listas!$D$2:$D$60,E558)&gt;0)),"Unidad no reconocida",IF(AND(F558&lt;&gt;"",NOT(ISNUMBER(F558))),"Cantidad no es número",IF(N(F558)&lt;=0,"Falta cantidad",IF(OR(AND(G558&lt;&gt;"",NOT(ISNUMBER(G558))),AND(H558&lt;&gt;"",NOT(ISNUMBER(H558)))),"Precio no es número",IF(N(G558)+N(H558)&lt;=0,"Falta precio","✓ OK")))))))))))</f>
        <v/>
      </c>
      <c r="M558" t="str">
        <f>IF(N558&lt;&gt;"W","",IF(TRIM(C558)&lt;&gt;"",TRIM(C558),IFERROR(LOOKUP(2,1/(N$9:N558="T"),D$9:D558),"")))</f>
        <v/>
      </c>
      <c r="N558" t="str">
        <f t="shared" si="26"/>
        <v/>
      </c>
      <c r="O558" t="str">
        <f>IF(M558="","",IF(COUNTIF(M$9:M558,M558)=1,MAX(O$8:O557)+1,""))</f>
        <v/>
      </c>
    </row>
    <row r="559" spans="1:15" x14ac:dyDescent="0.75">
      <c r="A559" s="24" t="str">
        <f>IF(N559="W",COUNTIF(N$9:N559,"W"),"")</f>
        <v/>
      </c>
      <c r="B559" s="25"/>
      <c r="C559" s="25"/>
      <c r="D559" s="26"/>
      <c r="E559" s="25"/>
      <c r="F559" s="27"/>
      <c r="G559" s="28"/>
      <c r="H559" s="28"/>
      <c r="I559" s="29" t="str">
        <f t="shared" si="24"/>
        <v/>
      </c>
      <c r="J559" s="30" t="str">
        <f t="shared" si="25"/>
        <v/>
      </c>
      <c r="K559" s="26"/>
      <c r="L559" s="24" t="str">
        <f>IF(N559="","",IF(N559="T","Título de capítulo",IF(OR(ISERROR(F559),ISERROR(G559),ISERROR(H559)),"Error en fórmula: pegá como valores",IF(AND(B559="",$C$6=""),"Falta sector",IF(M559="","Falta capítulo",IF(TRIM(E559)="","Falta unidad",IF(NOT((COUNTIF(Listas!$A$2:$A$40,E559)+COUNTIF(Listas!$D$2:$D$60,E559)&gt;0)),"Unidad no reconocida",IF(AND(F559&lt;&gt;"",NOT(ISNUMBER(F559))),"Cantidad no es número",IF(N(F559)&lt;=0,"Falta cantidad",IF(OR(AND(G559&lt;&gt;"",NOT(ISNUMBER(G559))),AND(H559&lt;&gt;"",NOT(ISNUMBER(H559)))),"Precio no es número",IF(N(G559)+N(H559)&lt;=0,"Falta precio","✓ OK")))))))))))</f>
        <v/>
      </c>
      <c r="M559" t="str">
        <f>IF(N559&lt;&gt;"W","",IF(TRIM(C559)&lt;&gt;"",TRIM(C559),IFERROR(LOOKUP(2,1/(N$9:N559="T"),D$9:D559),"")))</f>
        <v/>
      </c>
      <c r="N559" t="str">
        <f t="shared" si="26"/>
        <v/>
      </c>
      <c r="O559" t="str">
        <f>IF(M559="","",IF(COUNTIF(M$9:M559,M559)=1,MAX(O$8:O558)+1,""))</f>
        <v/>
      </c>
    </row>
    <row r="560" spans="1:15" x14ac:dyDescent="0.75">
      <c r="A560" s="24" t="str">
        <f>IF(N560="W",COUNTIF(N$9:N560,"W"),"")</f>
        <v/>
      </c>
      <c r="B560" s="25"/>
      <c r="C560" s="25"/>
      <c r="D560" s="26"/>
      <c r="E560" s="25"/>
      <c r="F560" s="27"/>
      <c r="G560" s="28"/>
      <c r="H560" s="28"/>
      <c r="I560" s="29" t="str">
        <f t="shared" si="24"/>
        <v/>
      </c>
      <c r="J560" s="30" t="str">
        <f t="shared" si="25"/>
        <v/>
      </c>
      <c r="K560" s="26"/>
      <c r="L560" s="24" t="str">
        <f>IF(N560="","",IF(N560="T","Título de capítulo",IF(OR(ISERROR(F560),ISERROR(G560),ISERROR(H560)),"Error en fórmula: pegá como valores",IF(AND(B560="",$C$6=""),"Falta sector",IF(M560="","Falta capítulo",IF(TRIM(E560)="","Falta unidad",IF(NOT((COUNTIF(Listas!$A$2:$A$40,E560)+COUNTIF(Listas!$D$2:$D$60,E560)&gt;0)),"Unidad no reconocida",IF(AND(F560&lt;&gt;"",NOT(ISNUMBER(F560))),"Cantidad no es número",IF(N(F560)&lt;=0,"Falta cantidad",IF(OR(AND(G560&lt;&gt;"",NOT(ISNUMBER(G560))),AND(H560&lt;&gt;"",NOT(ISNUMBER(H560)))),"Precio no es número",IF(N(G560)+N(H560)&lt;=0,"Falta precio","✓ OK")))))))))))</f>
        <v/>
      </c>
      <c r="M560" t="str">
        <f>IF(N560&lt;&gt;"W","",IF(TRIM(C560)&lt;&gt;"",TRIM(C560),IFERROR(LOOKUP(2,1/(N$9:N560="T"),D$9:D560),"")))</f>
        <v/>
      </c>
      <c r="N560" t="str">
        <f t="shared" si="26"/>
        <v/>
      </c>
      <c r="O560" t="str">
        <f>IF(M560="","",IF(COUNTIF(M$9:M560,M560)=1,MAX(O$8:O559)+1,""))</f>
        <v/>
      </c>
    </row>
    <row r="561" spans="1:15" x14ac:dyDescent="0.75">
      <c r="A561" s="24" t="str">
        <f>IF(N561="W",COUNTIF(N$9:N561,"W"),"")</f>
        <v/>
      </c>
      <c r="B561" s="25"/>
      <c r="C561" s="25"/>
      <c r="D561" s="26"/>
      <c r="E561" s="25"/>
      <c r="F561" s="27"/>
      <c r="G561" s="28"/>
      <c r="H561" s="28"/>
      <c r="I561" s="29" t="str">
        <f t="shared" si="24"/>
        <v/>
      </c>
      <c r="J561" s="30" t="str">
        <f t="shared" si="25"/>
        <v/>
      </c>
      <c r="K561" s="26"/>
      <c r="L561" s="24" t="str">
        <f>IF(N561="","",IF(N561="T","Título de capítulo",IF(OR(ISERROR(F561),ISERROR(G561),ISERROR(H561)),"Error en fórmula: pegá como valores",IF(AND(B561="",$C$6=""),"Falta sector",IF(M561="","Falta capítulo",IF(TRIM(E561)="","Falta unidad",IF(NOT((COUNTIF(Listas!$A$2:$A$40,E561)+COUNTIF(Listas!$D$2:$D$60,E561)&gt;0)),"Unidad no reconocida",IF(AND(F561&lt;&gt;"",NOT(ISNUMBER(F561))),"Cantidad no es número",IF(N(F561)&lt;=0,"Falta cantidad",IF(OR(AND(G561&lt;&gt;"",NOT(ISNUMBER(G561))),AND(H561&lt;&gt;"",NOT(ISNUMBER(H561)))),"Precio no es número",IF(N(G561)+N(H561)&lt;=0,"Falta precio","✓ OK")))))))))))</f>
        <v/>
      </c>
      <c r="M561" t="str">
        <f>IF(N561&lt;&gt;"W","",IF(TRIM(C561)&lt;&gt;"",TRIM(C561),IFERROR(LOOKUP(2,1/(N$9:N561="T"),D$9:D561),"")))</f>
        <v/>
      </c>
      <c r="N561" t="str">
        <f t="shared" si="26"/>
        <v/>
      </c>
      <c r="O561" t="str">
        <f>IF(M561="","",IF(COUNTIF(M$9:M561,M561)=1,MAX(O$8:O560)+1,""))</f>
        <v/>
      </c>
    </row>
    <row r="562" spans="1:15" x14ac:dyDescent="0.75">
      <c r="A562" s="24" t="str">
        <f>IF(N562="W",COUNTIF(N$9:N562,"W"),"")</f>
        <v/>
      </c>
      <c r="B562" s="25"/>
      <c r="C562" s="25"/>
      <c r="D562" s="26"/>
      <c r="E562" s="25"/>
      <c r="F562" s="27"/>
      <c r="G562" s="28"/>
      <c r="H562" s="28"/>
      <c r="I562" s="29" t="str">
        <f t="shared" si="24"/>
        <v/>
      </c>
      <c r="J562" s="30" t="str">
        <f t="shared" si="25"/>
        <v/>
      </c>
      <c r="K562" s="26"/>
      <c r="L562" s="24" t="str">
        <f>IF(N562="","",IF(N562="T","Título de capítulo",IF(OR(ISERROR(F562),ISERROR(G562),ISERROR(H562)),"Error en fórmula: pegá como valores",IF(AND(B562="",$C$6=""),"Falta sector",IF(M562="","Falta capítulo",IF(TRIM(E562)="","Falta unidad",IF(NOT((COUNTIF(Listas!$A$2:$A$40,E562)+COUNTIF(Listas!$D$2:$D$60,E562)&gt;0)),"Unidad no reconocida",IF(AND(F562&lt;&gt;"",NOT(ISNUMBER(F562))),"Cantidad no es número",IF(N(F562)&lt;=0,"Falta cantidad",IF(OR(AND(G562&lt;&gt;"",NOT(ISNUMBER(G562))),AND(H562&lt;&gt;"",NOT(ISNUMBER(H562)))),"Precio no es número",IF(N(G562)+N(H562)&lt;=0,"Falta precio","✓ OK")))))))))))</f>
        <v/>
      </c>
      <c r="M562" t="str">
        <f>IF(N562&lt;&gt;"W","",IF(TRIM(C562)&lt;&gt;"",TRIM(C562),IFERROR(LOOKUP(2,1/(N$9:N562="T"),D$9:D562),"")))</f>
        <v/>
      </c>
      <c r="N562" t="str">
        <f t="shared" si="26"/>
        <v/>
      </c>
      <c r="O562" t="str">
        <f>IF(M562="","",IF(COUNTIF(M$9:M562,M562)=1,MAX(O$8:O561)+1,""))</f>
        <v/>
      </c>
    </row>
    <row r="563" spans="1:15" x14ac:dyDescent="0.75">
      <c r="A563" s="24" t="str">
        <f>IF(N563="W",COUNTIF(N$9:N563,"W"),"")</f>
        <v/>
      </c>
      <c r="B563" s="25"/>
      <c r="C563" s="25"/>
      <c r="D563" s="26"/>
      <c r="E563" s="25"/>
      <c r="F563" s="27"/>
      <c r="G563" s="28"/>
      <c r="H563" s="28"/>
      <c r="I563" s="29" t="str">
        <f t="shared" si="24"/>
        <v/>
      </c>
      <c r="J563" s="30" t="str">
        <f t="shared" si="25"/>
        <v/>
      </c>
      <c r="K563" s="26"/>
      <c r="L563" s="24" t="str">
        <f>IF(N563="","",IF(N563="T","Título de capítulo",IF(OR(ISERROR(F563),ISERROR(G563),ISERROR(H563)),"Error en fórmula: pegá como valores",IF(AND(B563="",$C$6=""),"Falta sector",IF(M563="","Falta capítulo",IF(TRIM(E563)="","Falta unidad",IF(NOT((COUNTIF(Listas!$A$2:$A$40,E563)+COUNTIF(Listas!$D$2:$D$60,E563)&gt;0)),"Unidad no reconocida",IF(AND(F563&lt;&gt;"",NOT(ISNUMBER(F563))),"Cantidad no es número",IF(N(F563)&lt;=0,"Falta cantidad",IF(OR(AND(G563&lt;&gt;"",NOT(ISNUMBER(G563))),AND(H563&lt;&gt;"",NOT(ISNUMBER(H563)))),"Precio no es número",IF(N(G563)+N(H563)&lt;=0,"Falta precio","✓ OK")))))))))))</f>
        <v/>
      </c>
      <c r="M563" t="str">
        <f>IF(N563&lt;&gt;"W","",IF(TRIM(C563)&lt;&gt;"",TRIM(C563),IFERROR(LOOKUP(2,1/(N$9:N563="T"),D$9:D563),"")))</f>
        <v/>
      </c>
      <c r="N563" t="str">
        <f t="shared" si="26"/>
        <v/>
      </c>
      <c r="O563" t="str">
        <f>IF(M563="","",IF(COUNTIF(M$9:M563,M563)=1,MAX(O$8:O562)+1,""))</f>
        <v/>
      </c>
    </row>
    <row r="564" spans="1:15" x14ac:dyDescent="0.75">
      <c r="A564" s="24" t="str">
        <f>IF(N564="W",COUNTIF(N$9:N564,"W"),"")</f>
        <v/>
      </c>
      <c r="B564" s="25"/>
      <c r="C564" s="25"/>
      <c r="D564" s="26"/>
      <c r="E564" s="25"/>
      <c r="F564" s="27"/>
      <c r="G564" s="28"/>
      <c r="H564" s="28"/>
      <c r="I564" s="29" t="str">
        <f t="shared" si="24"/>
        <v/>
      </c>
      <c r="J564" s="30" t="str">
        <f t="shared" si="25"/>
        <v/>
      </c>
      <c r="K564" s="26"/>
      <c r="L564" s="24" t="str">
        <f>IF(N564="","",IF(N564="T","Título de capítulo",IF(OR(ISERROR(F564),ISERROR(G564),ISERROR(H564)),"Error en fórmula: pegá como valores",IF(AND(B564="",$C$6=""),"Falta sector",IF(M564="","Falta capítulo",IF(TRIM(E564)="","Falta unidad",IF(NOT((COUNTIF(Listas!$A$2:$A$40,E564)+COUNTIF(Listas!$D$2:$D$60,E564)&gt;0)),"Unidad no reconocida",IF(AND(F564&lt;&gt;"",NOT(ISNUMBER(F564))),"Cantidad no es número",IF(N(F564)&lt;=0,"Falta cantidad",IF(OR(AND(G564&lt;&gt;"",NOT(ISNUMBER(G564))),AND(H564&lt;&gt;"",NOT(ISNUMBER(H564)))),"Precio no es número",IF(N(G564)+N(H564)&lt;=0,"Falta precio","✓ OK")))))))))))</f>
        <v/>
      </c>
      <c r="M564" t="str">
        <f>IF(N564&lt;&gt;"W","",IF(TRIM(C564)&lt;&gt;"",TRIM(C564),IFERROR(LOOKUP(2,1/(N$9:N564="T"),D$9:D564),"")))</f>
        <v/>
      </c>
      <c r="N564" t="str">
        <f t="shared" si="26"/>
        <v/>
      </c>
      <c r="O564" t="str">
        <f>IF(M564="","",IF(COUNTIF(M$9:M564,M564)=1,MAX(O$8:O563)+1,""))</f>
        <v/>
      </c>
    </row>
    <row r="565" spans="1:15" x14ac:dyDescent="0.75">
      <c r="A565" s="24" t="str">
        <f>IF(N565="W",COUNTIF(N$9:N565,"W"),"")</f>
        <v/>
      </c>
      <c r="B565" s="25"/>
      <c r="C565" s="25"/>
      <c r="D565" s="26"/>
      <c r="E565" s="25"/>
      <c r="F565" s="27"/>
      <c r="G565" s="28"/>
      <c r="H565" s="28"/>
      <c r="I565" s="29" t="str">
        <f t="shared" si="24"/>
        <v/>
      </c>
      <c r="J565" s="30" t="str">
        <f t="shared" si="25"/>
        <v/>
      </c>
      <c r="K565" s="26"/>
      <c r="L565" s="24" t="str">
        <f>IF(N565="","",IF(N565="T","Título de capítulo",IF(OR(ISERROR(F565),ISERROR(G565),ISERROR(H565)),"Error en fórmula: pegá como valores",IF(AND(B565="",$C$6=""),"Falta sector",IF(M565="","Falta capítulo",IF(TRIM(E565)="","Falta unidad",IF(NOT((COUNTIF(Listas!$A$2:$A$40,E565)+COUNTIF(Listas!$D$2:$D$60,E565)&gt;0)),"Unidad no reconocida",IF(AND(F565&lt;&gt;"",NOT(ISNUMBER(F565))),"Cantidad no es número",IF(N(F565)&lt;=0,"Falta cantidad",IF(OR(AND(G565&lt;&gt;"",NOT(ISNUMBER(G565))),AND(H565&lt;&gt;"",NOT(ISNUMBER(H565)))),"Precio no es número",IF(N(G565)+N(H565)&lt;=0,"Falta precio","✓ OK")))))))))))</f>
        <v/>
      </c>
      <c r="M565" t="str">
        <f>IF(N565&lt;&gt;"W","",IF(TRIM(C565)&lt;&gt;"",TRIM(C565),IFERROR(LOOKUP(2,1/(N$9:N565="T"),D$9:D565),"")))</f>
        <v/>
      </c>
      <c r="N565" t="str">
        <f t="shared" si="26"/>
        <v/>
      </c>
      <c r="O565" t="str">
        <f>IF(M565="","",IF(COUNTIF(M$9:M565,M565)=1,MAX(O$8:O564)+1,""))</f>
        <v/>
      </c>
    </row>
    <row r="566" spans="1:15" x14ac:dyDescent="0.75">
      <c r="A566" s="24" t="str">
        <f>IF(N566="W",COUNTIF(N$9:N566,"W"),"")</f>
        <v/>
      </c>
      <c r="B566" s="25"/>
      <c r="C566" s="25"/>
      <c r="D566" s="26"/>
      <c r="E566" s="25"/>
      <c r="F566" s="27"/>
      <c r="G566" s="28"/>
      <c r="H566" s="28"/>
      <c r="I566" s="29" t="str">
        <f t="shared" si="24"/>
        <v/>
      </c>
      <c r="J566" s="30" t="str">
        <f t="shared" si="25"/>
        <v/>
      </c>
      <c r="K566" s="26"/>
      <c r="L566" s="24" t="str">
        <f>IF(N566="","",IF(N566="T","Título de capítulo",IF(OR(ISERROR(F566),ISERROR(G566),ISERROR(H566)),"Error en fórmula: pegá como valores",IF(AND(B566="",$C$6=""),"Falta sector",IF(M566="","Falta capítulo",IF(TRIM(E566)="","Falta unidad",IF(NOT((COUNTIF(Listas!$A$2:$A$40,E566)+COUNTIF(Listas!$D$2:$D$60,E566)&gt;0)),"Unidad no reconocida",IF(AND(F566&lt;&gt;"",NOT(ISNUMBER(F566))),"Cantidad no es número",IF(N(F566)&lt;=0,"Falta cantidad",IF(OR(AND(G566&lt;&gt;"",NOT(ISNUMBER(G566))),AND(H566&lt;&gt;"",NOT(ISNUMBER(H566)))),"Precio no es número",IF(N(G566)+N(H566)&lt;=0,"Falta precio","✓ OK")))))))))))</f>
        <v/>
      </c>
      <c r="M566" t="str">
        <f>IF(N566&lt;&gt;"W","",IF(TRIM(C566)&lt;&gt;"",TRIM(C566),IFERROR(LOOKUP(2,1/(N$9:N566="T"),D$9:D566),"")))</f>
        <v/>
      </c>
      <c r="N566" t="str">
        <f t="shared" si="26"/>
        <v/>
      </c>
      <c r="O566" t="str">
        <f>IF(M566="","",IF(COUNTIF(M$9:M566,M566)=1,MAX(O$8:O565)+1,""))</f>
        <v/>
      </c>
    </row>
    <row r="567" spans="1:15" x14ac:dyDescent="0.75">
      <c r="A567" s="24" t="str">
        <f>IF(N567="W",COUNTIF(N$9:N567,"W"),"")</f>
        <v/>
      </c>
      <c r="B567" s="25"/>
      <c r="C567" s="25"/>
      <c r="D567" s="26"/>
      <c r="E567" s="25"/>
      <c r="F567" s="27"/>
      <c r="G567" s="28"/>
      <c r="H567" s="28"/>
      <c r="I567" s="29" t="str">
        <f t="shared" si="24"/>
        <v/>
      </c>
      <c r="J567" s="30" t="str">
        <f t="shared" si="25"/>
        <v/>
      </c>
      <c r="K567" s="26"/>
      <c r="L567" s="24" t="str">
        <f>IF(N567="","",IF(N567="T","Título de capítulo",IF(OR(ISERROR(F567),ISERROR(G567),ISERROR(H567)),"Error en fórmula: pegá como valores",IF(AND(B567="",$C$6=""),"Falta sector",IF(M567="","Falta capítulo",IF(TRIM(E567)="","Falta unidad",IF(NOT((COUNTIF(Listas!$A$2:$A$40,E567)+COUNTIF(Listas!$D$2:$D$60,E567)&gt;0)),"Unidad no reconocida",IF(AND(F567&lt;&gt;"",NOT(ISNUMBER(F567))),"Cantidad no es número",IF(N(F567)&lt;=0,"Falta cantidad",IF(OR(AND(G567&lt;&gt;"",NOT(ISNUMBER(G567))),AND(H567&lt;&gt;"",NOT(ISNUMBER(H567)))),"Precio no es número",IF(N(G567)+N(H567)&lt;=0,"Falta precio","✓ OK")))))))))))</f>
        <v/>
      </c>
      <c r="M567" t="str">
        <f>IF(N567&lt;&gt;"W","",IF(TRIM(C567)&lt;&gt;"",TRIM(C567),IFERROR(LOOKUP(2,1/(N$9:N567="T"),D$9:D567),"")))</f>
        <v/>
      </c>
      <c r="N567" t="str">
        <f t="shared" si="26"/>
        <v/>
      </c>
      <c r="O567" t="str">
        <f>IF(M567="","",IF(COUNTIF(M$9:M567,M567)=1,MAX(O$8:O566)+1,""))</f>
        <v/>
      </c>
    </row>
    <row r="568" spans="1:15" x14ac:dyDescent="0.75">
      <c r="A568" s="24" t="str">
        <f>IF(N568="W",COUNTIF(N$9:N568,"W"),"")</f>
        <v/>
      </c>
      <c r="B568" s="25"/>
      <c r="C568" s="25"/>
      <c r="D568" s="26"/>
      <c r="E568" s="25"/>
      <c r="F568" s="27"/>
      <c r="G568" s="28"/>
      <c r="H568" s="28"/>
      <c r="I568" s="29" t="str">
        <f t="shared" si="24"/>
        <v/>
      </c>
      <c r="J568" s="30" t="str">
        <f t="shared" si="25"/>
        <v/>
      </c>
      <c r="K568" s="26"/>
      <c r="L568" s="24" t="str">
        <f>IF(N568="","",IF(N568="T","Título de capítulo",IF(OR(ISERROR(F568),ISERROR(G568),ISERROR(H568)),"Error en fórmula: pegá como valores",IF(AND(B568="",$C$6=""),"Falta sector",IF(M568="","Falta capítulo",IF(TRIM(E568)="","Falta unidad",IF(NOT((COUNTIF(Listas!$A$2:$A$40,E568)+COUNTIF(Listas!$D$2:$D$60,E568)&gt;0)),"Unidad no reconocida",IF(AND(F568&lt;&gt;"",NOT(ISNUMBER(F568))),"Cantidad no es número",IF(N(F568)&lt;=0,"Falta cantidad",IF(OR(AND(G568&lt;&gt;"",NOT(ISNUMBER(G568))),AND(H568&lt;&gt;"",NOT(ISNUMBER(H568)))),"Precio no es número",IF(N(G568)+N(H568)&lt;=0,"Falta precio","✓ OK")))))))))))</f>
        <v/>
      </c>
      <c r="M568" t="str">
        <f>IF(N568&lt;&gt;"W","",IF(TRIM(C568)&lt;&gt;"",TRIM(C568),IFERROR(LOOKUP(2,1/(N$9:N568="T"),D$9:D568),"")))</f>
        <v/>
      </c>
      <c r="N568" t="str">
        <f t="shared" si="26"/>
        <v/>
      </c>
      <c r="O568" t="str">
        <f>IF(M568="","",IF(COUNTIF(M$9:M568,M568)=1,MAX(O$8:O567)+1,""))</f>
        <v/>
      </c>
    </row>
    <row r="569" spans="1:15" x14ac:dyDescent="0.75">
      <c r="A569" s="24" t="str">
        <f>IF(N569="W",COUNTIF(N$9:N569,"W"),"")</f>
        <v/>
      </c>
      <c r="B569" s="25"/>
      <c r="C569" s="25"/>
      <c r="D569" s="26"/>
      <c r="E569" s="25"/>
      <c r="F569" s="27"/>
      <c r="G569" s="28"/>
      <c r="H569" s="28"/>
      <c r="I569" s="29" t="str">
        <f t="shared" si="24"/>
        <v/>
      </c>
      <c r="J569" s="30" t="str">
        <f t="shared" si="25"/>
        <v/>
      </c>
      <c r="K569" s="26"/>
      <c r="L569" s="24" t="str">
        <f>IF(N569="","",IF(N569="T","Título de capítulo",IF(OR(ISERROR(F569),ISERROR(G569),ISERROR(H569)),"Error en fórmula: pegá como valores",IF(AND(B569="",$C$6=""),"Falta sector",IF(M569="","Falta capítulo",IF(TRIM(E569)="","Falta unidad",IF(NOT((COUNTIF(Listas!$A$2:$A$40,E569)+COUNTIF(Listas!$D$2:$D$60,E569)&gt;0)),"Unidad no reconocida",IF(AND(F569&lt;&gt;"",NOT(ISNUMBER(F569))),"Cantidad no es número",IF(N(F569)&lt;=0,"Falta cantidad",IF(OR(AND(G569&lt;&gt;"",NOT(ISNUMBER(G569))),AND(H569&lt;&gt;"",NOT(ISNUMBER(H569)))),"Precio no es número",IF(N(G569)+N(H569)&lt;=0,"Falta precio","✓ OK")))))))))))</f>
        <v/>
      </c>
      <c r="M569" t="str">
        <f>IF(N569&lt;&gt;"W","",IF(TRIM(C569)&lt;&gt;"",TRIM(C569),IFERROR(LOOKUP(2,1/(N$9:N569="T"),D$9:D569),"")))</f>
        <v/>
      </c>
      <c r="N569" t="str">
        <f t="shared" si="26"/>
        <v/>
      </c>
      <c r="O569" t="str">
        <f>IF(M569="","",IF(COUNTIF(M$9:M569,M569)=1,MAX(O$8:O568)+1,""))</f>
        <v/>
      </c>
    </row>
    <row r="570" spans="1:15" x14ac:dyDescent="0.75">
      <c r="A570" s="24" t="str">
        <f>IF(N570="W",COUNTIF(N$9:N570,"W"),"")</f>
        <v/>
      </c>
      <c r="B570" s="25"/>
      <c r="C570" s="25"/>
      <c r="D570" s="26"/>
      <c r="E570" s="25"/>
      <c r="F570" s="27"/>
      <c r="G570" s="28"/>
      <c r="H570" s="28"/>
      <c r="I570" s="29" t="str">
        <f t="shared" si="24"/>
        <v/>
      </c>
      <c r="J570" s="30" t="str">
        <f t="shared" si="25"/>
        <v/>
      </c>
      <c r="K570" s="26"/>
      <c r="L570" s="24" t="str">
        <f>IF(N570="","",IF(N570="T","Título de capítulo",IF(OR(ISERROR(F570),ISERROR(G570),ISERROR(H570)),"Error en fórmula: pegá como valores",IF(AND(B570="",$C$6=""),"Falta sector",IF(M570="","Falta capítulo",IF(TRIM(E570)="","Falta unidad",IF(NOT((COUNTIF(Listas!$A$2:$A$40,E570)+COUNTIF(Listas!$D$2:$D$60,E570)&gt;0)),"Unidad no reconocida",IF(AND(F570&lt;&gt;"",NOT(ISNUMBER(F570))),"Cantidad no es número",IF(N(F570)&lt;=0,"Falta cantidad",IF(OR(AND(G570&lt;&gt;"",NOT(ISNUMBER(G570))),AND(H570&lt;&gt;"",NOT(ISNUMBER(H570)))),"Precio no es número",IF(N(G570)+N(H570)&lt;=0,"Falta precio","✓ OK")))))))))))</f>
        <v/>
      </c>
      <c r="M570" t="str">
        <f>IF(N570&lt;&gt;"W","",IF(TRIM(C570)&lt;&gt;"",TRIM(C570),IFERROR(LOOKUP(2,1/(N$9:N570="T"),D$9:D570),"")))</f>
        <v/>
      </c>
      <c r="N570" t="str">
        <f t="shared" si="26"/>
        <v/>
      </c>
      <c r="O570" t="str">
        <f>IF(M570="","",IF(COUNTIF(M$9:M570,M570)=1,MAX(O$8:O569)+1,""))</f>
        <v/>
      </c>
    </row>
    <row r="571" spans="1:15" x14ac:dyDescent="0.75">
      <c r="A571" s="24" t="str">
        <f>IF(N571="W",COUNTIF(N$9:N571,"W"),"")</f>
        <v/>
      </c>
      <c r="B571" s="25"/>
      <c r="C571" s="25"/>
      <c r="D571" s="26"/>
      <c r="E571" s="25"/>
      <c r="F571" s="27"/>
      <c r="G571" s="28"/>
      <c r="H571" s="28"/>
      <c r="I571" s="29" t="str">
        <f t="shared" si="24"/>
        <v/>
      </c>
      <c r="J571" s="30" t="str">
        <f t="shared" si="25"/>
        <v/>
      </c>
      <c r="K571" s="26"/>
      <c r="L571" s="24" t="str">
        <f>IF(N571="","",IF(N571="T","Título de capítulo",IF(OR(ISERROR(F571),ISERROR(G571),ISERROR(H571)),"Error en fórmula: pegá como valores",IF(AND(B571="",$C$6=""),"Falta sector",IF(M571="","Falta capítulo",IF(TRIM(E571)="","Falta unidad",IF(NOT((COUNTIF(Listas!$A$2:$A$40,E571)+COUNTIF(Listas!$D$2:$D$60,E571)&gt;0)),"Unidad no reconocida",IF(AND(F571&lt;&gt;"",NOT(ISNUMBER(F571))),"Cantidad no es número",IF(N(F571)&lt;=0,"Falta cantidad",IF(OR(AND(G571&lt;&gt;"",NOT(ISNUMBER(G571))),AND(H571&lt;&gt;"",NOT(ISNUMBER(H571)))),"Precio no es número",IF(N(G571)+N(H571)&lt;=0,"Falta precio","✓ OK")))))))))))</f>
        <v/>
      </c>
      <c r="M571" t="str">
        <f>IF(N571&lt;&gt;"W","",IF(TRIM(C571)&lt;&gt;"",TRIM(C571),IFERROR(LOOKUP(2,1/(N$9:N571="T"),D$9:D571),"")))</f>
        <v/>
      </c>
      <c r="N571" t="str">
        <f t="shared" si="26"/>
        <v/>
      </c>
      <c r="O571" t="str">
        <f>IF(M571="","",IF(COUNTIF(M$9:M571,M571)=1,MAX(O$8:O570)+1,""))</f>
        <v/>
      </c>
    </row>
    <row r="572" spans="1:15" x14ac:dyDescent="0.75">
      <c r="A572" s="24" t="str">
        <f>IF(N572="W",COUNTIF(N$9:N572,"W"),"")</f>
        <v/>
      </c>
      <c r="B572" s="25"/>
      <c r="C572" s="25"/>
      <c r="D572" s="26"/>
      <c r="E572" s="25"/>
      <c r="F572" s="27"/>
      <c r="G572" s="28"/>
      <c r="H572" s="28"/>
      <c r="I572" s="29" t="str">
        <f t="shared" si="24"/>
        <v/>
      </c>
      <c r="J572" s="30" t="str">
        <f t="shared" si="25"/>
        <v/>
      </c>
      <c r="K572" s="26"/>
      <c r="L572" s="24" t="str">
        <f>IF(N572="","",IF(N572="T","Título de capítulo",IF(OR(ISERROR(F572),ISERROR(G572),ISERROR(H572)),"Error en fórmula: pegá como valores",IF(AND(B572="",$C$6=""),"Falta sector",IF(M572="","Falta capítulo",IF(TRIM(E572)="","Falta unidad",IF(NOT((COUNTIF(Listas!$A$2:$A$40,E572)+COUNTIF(Listas!$D$2:$D$60,E572)&gt;0)),"Unidad no reconocida",IF(AND(F572&lt;&gt;"",NOT(ISNUMBER(F572))),"Cantidad no es número",IF(N(F572)&lt;=0,"Falta cantidad",IF(OR(AND(G572&lt;&gt;"",NOT(ISNUMBER(G572))),AND(H572&lt;&gt;"",NOT(ISNUMBER(H572)))),"Precio no es número",IF(N(G572)+N(H572)&lt;=0,"Falta precio","✓ OK")))))))))))</f>
        <v/>
      </c>
      <c r="M572" t="str">
        <f>IF(N572&lt;&gt;"W","",IF(TRIM(C572)&lt;&gt;"",TRIM(C572),IFERROR(LOOKUP(2,1/(N$9:N572="T"),D$9:D572),"")))</f>
        <v/>
      </c>
      <c r="N572" t="str">
        <f t="shared" si="26"/>
        <v/>
      </c>
      <c r="O572" t="str">
        <f>IF(M572="","",IF(COUNTIF(M$9:M572,M572)=1,MAX(O$8:O571)+1,""))</f>
        <v/>
      </c>
    </row>
    <row r="573" spans="1:15" x14ac:dyDescent="0.75">
      <c r="A573" s="24" t="str">
        <f>IF(N573="W",COUNTIF(N$9:N573,"W"),"")</f>
        <v/>
      </c>
      <c r="B573" s="25"/>
      <c r="C573" s="25"/>
      <c r="D573" s="26"/>
      <c r="E573" s="25"/>
      <c r="F573" s="27"/>
      <c r="G573" s="28"/>
      <c r="H573" s="28"/>
      <c r="I573" s="29" t="str">
        <f t="shared" si="24"/>
        <v/>
      </c>
      <c r="J573" s="30" t="str">
        <f t="shared" si="25"/>
        <v/>
      </c>
      <c r="K573" s="26"/>
      <c r="L573" s="24" t="str">
        <f>IF(N573="","",IF(N573="T","Título de capítulo",IF(OR(ISERROR(F573),ISERROR(G573),ISERROR(H573)),"Error en fórmula: pegá como valores",IF(AND(B573="",$C$6=""),"Falta sector",IF(M573="","Falta capítulo",IF(TRIM(E573)="","Falta unidad",IF(NOT((COUNTIF(Listas!$A$2:$A$40,E573)+COUNTIF(Listas!$D$2:$D$60,E573)&gt;0)),"Unidad no reconocida",IF(AND(F573&lt;&gt;"",NOT(ISNUMBER(F573))),"Cantidad no es número",IF(N(F573)&lt;=0,"Falta cantidad",IF(OR(AND(G573&lt;&gt;"",NOT(ISNUMBER(G573))),AND(H573&lt;&gt;"",NOT(ISNUMBER(H573)))),"Precio no es número",IF(N(G573)+N(H573)&lt;=0,"Falta precio","✓ OK")))))))))))</f>
        <v/>
      </c>
      <c r="M573" t="str">
        <f>IF(N573&lt;&gt;"W","",IF(TRIM(C573)&lt;&gt;"",TRIM(C573),IFERROR(LOOKUP(2,1/(N$9:N573="T"),D$9:D573),"")))</f>
        <v/>
      </c>
      <c r="N573" t="str">
        <f t="shared" si="26"/>
        <v/>
      </c>
      <c r="O573" t="str">
        <f>IF(M573="","",IF(COUNTIF(M$9:M573,M573)=1,MAX(O$8:O572)+1,""))</f>
        <v/>
      </c>
    </row>
    <row r="574" spans="1:15" x14ac:dyDescent="0.75">
      <c r="A574" s="24" t="str">
        <f>IF(N574="W",COUNTIF(N$9:N574,"W"),"")</f>
        <v/>
      </c>
      <c r="B574" s="25"/>
      <c r="C574" s="25"/>
      <c r="D574" s="26"/>
      <c r="E574" s="25"/>
      <c r="F574" s="27"/>
      <c r="G574" s="28"/>
      <c r="H574" s="28"/>
      <c r="I574" s="29" t="str">
        <f t="shared" si="24"/>
        <v/>
      </c>
      <c r="J574" s="30" t="str">
        <f t="shared" si="25"/>
        <v/>
      </c>
      <c r="K574" s="26"/>
      <c r="L574" s="24" t="str">
        <f>IF(N574="","",IF(N574="T","Título de capítulo",IF(OR(ISERROR(F574),ISERROR(G574),ISERROR(H574)),"Error en fórmula: pegá como valores",IF(AND(B574="",$C$6=""),"Falta sector",IF(M574="","Falta capítulo",IF(TRIM(E574)="","Falta unidad",IF(NOT((COUNTIF(Listas!$A$2:$A$40,E574)+COUNTIF(Listas!$D$2:$D$60,E574)&gt;0)),"Unidad no reconocida",IF(AND(F574&lt;&gt;"",NOT(ISNUMBER(F574))),"Cantidad no es número",IF(N(F574)&lt;=0,"Falta cantidad",IF(OR(AND(G574&lt;&gt;"",NOT(ISNUMBER(G574))),AND(H574&lt;&gt;"",NOT(ISNUMBER(H574)))),"Precio no es número",IF(N(G574)+N(H574)&lt;=0,"Falta precio","✓ OK")))))))))))</f>
        <v/>
      </c>
      <c r="M574" t="str">
        <f>IF(N574&lt;&gt;"W","",IF(TRIM(C574)&lt;&gt;"",TRIM(C574),IFERROR(LOOKUP(2,1/(N$9:N574="T"),D$9:D574),"")))</f>
        <v/>
      </c>
      <c r="N574" t="str">
        <f t="shared" si="26"/>
        <v/>
      </c>
      <c r="O574" t="str">
        <f>IF(M574="","",IF(COUNTIF(M$9:M574,M574)=1,MAX(O$8:O573)+1,""))</f>
        <v/>
      </c>
    </row>
    <row r="575" spans="1:15" x14ac:dyDescent="0.75">
      <c r="A575" s="24" t="str">
        <f>IF(N575="W",COUNTIF(N$9:N575,"W"),"")</f>
        <v/>
      </c>
      <c r="B575" s="25"/>
      <c r="C575" s="25"/>
      <c r="D575" s="26"/>
      <c r="E575" s="25"/>
      <c r="F575" s="27"/>
      <c r="G575" s="28"/>
      <c r="H575" s="28"/>
      <c r="I575" s="29" t="str">
        <f t="shared" si="24"/>
        <v/>
      </c>
      <c r="J575" s="30" t="str">
        <f t="shared" si="25"/>
        <v/>
      </c>
      <c r="K575" s="26"/>
      <c r="L575" s="24" t="str">
        <f>IF(N575="","",IF(N575="T","Título de capítulo",IF(OR(ISERROR(F575),ISERROR(G575),ISERROR(H575)),"Error en fórmula: pegá como valores",IF(AND(B575="",$C$6=""),"Falta sector",IF(M575="","Falta capítulo",IF(TRIM(E575)="","Falta unidad",IF(NOT((COUNTIF(Listas!$A$2:$A$40,E575)+COUNTIF(Listas!$D$2:$D$60,E575)&gt;0)),"Unidad no reconocida",IF(AND(F575&lt;&gt;"",NOT(ISNUMBER(F575))),"Cantidad no es número",IF(N(F575)&lt;=0,"Falta cantidad",IF(OR(AND(G575&lt;&gt;"",NOT(ISNUMBER(G575))),AND(H575&lt;&gt;"",NOT(ISNUMBER(H575)))),"Precio no es número",IF(N(G575)+N(H575)&lt;=0,"Falta precio","✓ OK")))))))))))</f>
        <v/>
      </c>
      <c r="M575" t="str">
        <f>IF(N575&lt;&gt;"W","",IF(TRIM(C575)&lt;&gt;"",TRIM(C575),IFERROR(LOOKUP(2,1/(N$9:N575="T"),D$9:D575),"")))</f>
        <v/>
      </c>
      <c r="N575" t="str">
        <f t="shared" si="26"/>
        <v/>
      </c>
      <c r="O575" t="str">
        <f>IF(M575="","",IF(COUNTIF(M$9:M575,M575)=1,MAX(O$8:O574)+1,""))</f>
        <v/>
      </c>
    </row>
    <row r="576" spans="1:15" x14ac:dyDescent="0.75">
      <c r="A576" s="24" t="str">
        <f>IF(N576="W",COUNTIF(N$9:N576,"W"),"")</f>
        <v/>
      </c>
      <c r="B576" s="25"/>
      <c r="C576" s="25"/>
      <c r="D576" s="26"/>
      <c r="E576" s="25"/>
      <c r="F576" s="27"/>
      <c r="G576" s="28"/>
      <c r="H576" s="28"/>
      <c r="I576" s="29" t="str">
        <f t="shared" si="24"/>
        <v/>
      </c>
      <c r="J576" s="30" t="str">
        <f t="shared" si="25"/>
        <v/>
      </c>
      <c r="K576" s="26"/>
      <c r="L576" s="24" t="str">
        <f>IF(N576="","",IF(N576="T","Título de capítulo",IF(OR(ISERROR(F576),ISERROR(G576),ISERROR(H576)),"Error en fórmula: pegá como valores",IF(AND(B576="",$C$6=""),"Falta sector",IF(M576="","Falta capítulo",IF(TRIM(E576)="","Falta unidad",IF(NOT((COUNTIF(Listas!$A$2:$A$40,E576)+COUNTIF(Listas!$D$2:$D$60,E576)&gt;0)),"Unidad no reconocida",IF(AND(F576&lt;&gt;"",NOT(ISNUMBER(F576))),"Cantidad no es número",IF(N(F576)&lt;=0,"Falta cantidad",IF(OR(AND(G576&lt;&gt;"",NOT(ISNUMBER(G576))),AND(H576&lt;&gt;"",NOT(ISNUMBER(H576)))),"Precio no es número",IF(N(G576)+N(H576)&lt;=0,"Falta precio","✓ OK")))))))))))</f>
        <v/>
      </c>
      <c r="M576" t="str">
        <f>IF(N576&lt;&gt;"W","",IF(TRIM(C576)&lt;&gt;"",TRIM(C576),IFERROR(LOOKUP(2,1/(N$9:N576="T"),D$9:D576),"")))</f>
        <v/>
      </c>
      <c r="N576" t="str">
        <f t="shared" si="26"/>
        <v/>
      </c>
      <c r="O576" t="str">
        <f>IF(M576="","",IF(COUNTIF(M$9:M576,M576)=1,MAX(O$8:O575)+1,""))</f>
        <v/>
      </c>
    </row>
    <row r="577" spans="1:15" x14ac:dyDescent="0.75">
      <c r="A577" s="24" t="str">
        <f>IF(N577="W",COUNTIF(N$9:N577,"W"),"")</f>
        <v/>
      </c>
      <c r="B577" s="25"/>
      <c r="C577" s="25"/>
      <c r="D577" s="26"/>
      <c r="E577" s="25"/>
      <c r="F577" s="27"/>
      <c r="G577" s="28"/>
      <c r="H577" s="28"/>
      <c r="I577" s="29" t="str">
        <f t="shared" si="24"/>
        <v/>
      </c>
      <c r="J577" s="30" t="str">
        <f t="shared" si="25"/>
        <v/>
      </c>
      <c r="K577" s="26"/>
      <c r="L577" s="24" t="str">
        <f>IF(N577="","",IF(N577="T","Título de capítulo",IF(OR(ISERROR(F577),ISERROR(G577),ISERROR(H577)),"Error en fórmula: pegá como valores",IF(AND(B577="",$C$6=""),"Falta sector",IF(M577="","Falta capítulo",IF(TRIM(E577)="","Falta unidad",IF(NOT((COUNTIF(Listas!$A$2:$A$40,E577)+COUNTIF(Listas!$D$2:$D$60,E577)&gt;0)),"Unidad no reconocida",IF(AND(F577&lt;&gt;"",NOT(ISNUMBER(F577))),"Cantidad no es número",IF(N(F577)&lt;=0,"Falta cantidad",IF(OR(AND(G577&lt;&gt;"",NOT(ISNUMBER(G577))),AND(H577&lt;&gt;"",NOT(ISNUMBER(H577)))),"Precio no es número",IF(N(G577)+N(H577)&lt;=0,"Falta precio","✓ OK")))))))))))</f>
        <v/>
      </c>
      <c r="M577" t="str">
        <f>IF(N577&lt;&gt;"W","",IF(TRIM(C577)&lt;&gt;"",TRIM(C577),IFERROR(LOOKUP(2,1/(N$9:N577="T"),D$9:D577),"")))</f>
        <v/>
      </c>
      <c r="N577" t="str">
        <f t="shared" si="26"/>
        <v/>
      </c>
      <c r="O577" t="str">
        <f>IF(M577="","",IF(COUNTIF(M$9:M577,M577)=1,MAX(O$8:O576)+1,""))</f>
        <v/>
      </c>
    </row>
    <row r="578" spans="1:15" x14ac:dyDescent="0.75">
      <c r="A578" s="24" t="str">
        <f>IF(N578="W",COUNTIF(N$9:N578,"W"),"")</f>
        <v/>
      </c>
      <c r="B578" s="25"/>
      <c r="C578" s="25"/>
      <c r="D578" s="26"/>
      <c r="E578" s="25"/>
      <c r="F578" s="27"/>
      <c r="G578" s="28"/>
      <c r="H578" s="28"/>
      <c r="I578" s="29" t="str">
        <f t="shared" si="24"/>
        <v/>
      </c>
      <c r="J578" s="30" t="str">
        <f t="shared" si="25"/>
        <v/>
      </c>
      <c r="K578" s="26"/>
      <c r="L578" s="24" t="str">
        <f>IF(N578="","",IF(N578="T","Título de capítulo",IF(OR(ISERROR(F578),ISERROR(G578),ISERROR(H578)),"Error en fórmula: pegá como valores",IF(AND(B578="",$C$6=""),"Falta sector",IF(M578="","Falta capítulo",IF(TRIM(E578)="","Falta unidad",IF(NOT((COUNTIF(Listas!$A$2:$A$40,E578)+COUNTIF(Listas!$D$2:$D$60,E578)&gt;0)),"Unidad no reconocida",IF(AND(F578&lt;&gt;"",NOT(ISNUMBER(F578))),"Cantidad no es número",IF(N(F578)&lt;=0,"Falta cantidad",IF(OR(AND(G578&lt;&gt;"",NOT(ISNUMBER(G578))),AND(H578&lt;&gt;"",NOT(ISNUMBER(H578)))),"Precio no es número",IF(N(G578)+N(H578)&lt;=0,"Falta precio","✓ OK")))))))))))</f>
        <v/>
      </c>
      <c r="M578" t="str">
        <f>IF(N578&lt;&gt;"W","",IF(TRIM(C578)&lt;&gt;"",TRIM(C578),IFERROR(LOOKUP(2,1/(N$9:N578="T"),D$9:D578),"")))</f>
        <v/>
      </c>
      <c r="N578" t="str">
        <f t="shared" si="26"/>
        <v/>
      </c>
      <c r="O578" t="str">
        <f>IF(M578="","",IF(COUNTIF(M$9:M578,M578)=1,MAX(O$8:O577)+1,""))</f>
        <v/>
      </c>
    </row>
    <row r="579" spans="1:15" x14ac:dyDescent="0.75">
      <c r="A579" s="24" t="str">
        <f>IF(N579="W",COUNTIF(N$9:N579,"W"),"")</f>
        <v/>
      </c>
      <c r="B579" s="25"/>
      <c r="C579" s="25"/>
      <c r="D579" s="26"/>
      <c r="E579" s="25"/>
      <c r="F579" s="27"/>
      <c r="G579" s="28"/>
      <c r="H579" s="28"/>
      <c r="I579" s="29" t="str">
        <f t="shared" si="24"/>
        <v/>
      </c>
      <c r="J579" s="30" t="str">
        <f t="shared" si="25"/>
        <v/>
      </c>
      <c r="K579" s="26"/>
      <c r="L579" s="24" t="str">
        <f>IF(N579="","",IF(N579="T","Título de capítulo",IF(OR(ISERROR(F579),ISERROR(G579),ISERROR(H579)),"Error en fórmula: pegá como valores",IF(AND(B579="",$C$6=""),"Falta sector",IF(M579="","Falta capítulo",IF(TRIM(E579)="","Falta unidad",IF(NOT((COUNTIF(Listas!$A$2:$A$40,E579)+COUNTIF(Listas!$D$2:$D$60,E579)&gt;0)),"Unidad no reconocida",IF(AND(F579&lt;&gt;"",NOT(ISNUMBER(F579))),"Cantidad no es número",IF(N(F579)&lt;=0,"Falta cantidad",IF(OR(AND(G579&lt;&gt;"",NOT(ISNUMBER(G579))),AND(H579&lt;&gt;"",NOT(ISNUMBER(H579)))),"Precio no es número",IF(N(G579)+N(H579)&lt;=0,"Falta precio","✓ OK")))))))))))</f>
        <v/>
      </c>
      <c r="M579" t="str">
        <f>IF(N579&lt;&gt;"W","",IF(TRIM(C579)&lt;&gt;"",TRIM(C579),IFERROR(LOOKUP(2,1/(N$9:N579="T"),D$9:D579),"")))</f>
        <v/>
      </c>
      <c r="N579" t="str">
        <f t="shared" si="26"/>
        <v/>
      </c>
      <c r="O579" t="str">
        <f>IF(M579="","",IF(COUNTIF(M$9:M579,M579)=1,MAX(O$8:O578)+1,""))</f>
        <v/>
      </c>
    </row>
    <row r="580" spans="1:15" x14ac:dyDescent="0.75">
      <c r="A580" s="24" t="str">
        <f>IF(N580="W",COUNTIF(N$9:N580,"W"),"")</f>
        <v/>
      </c>
      <c r="B580" s="25"/>
      <c r="C580" s="25"/>
      <c r="D580" s="26"/>
      <c r="E580" s="25"/>
      <c r="F580" s="27"/>
      <c r="G580" s="28"/>
      <c r="H580" s="28"/>
      <c r="I580" s="29" t="str">
        <f t="shared" si="24"/>
        <v/>
      </c>
      <c r="J580" s="30" t="str">
        <f t="shared" si="25"/>
        <v/>
      </c>
      <c r="K580" s="26"/>
      <c r="L580" s="24" t="str">
        <f>IF(N580="","",IF(N580="T","Título de capítulo",IF(OR(ISERROR(F580),ISERROR(G580),ISERROR(H580)),"Error en fórmula: pegá como valores",IF(AND(B580="",$C$6=""),"Falta sector",IF(M580="","Falta capítulo",IF(TRIM(E580)="","Falta unidad",IF(NOT((COUNTIF(Listas!$A$2:$A$40,E580)+COUNTIF(Listas!$D$2:$D$60,E580)&gt;0)),"Unidad no reconocida",IF(AND(F580&lt;&gt;"",NOT(ISNUMBER(F580))),"Cantidad no es número",IF(N(F580)&lt;=0,"Falta cantidad",IF(OR(AND(G580&lt;&gt;"",NOT(ISNUMBER(G580))),AND(H580&lt;&gt;"",NOT(ISNUMBER(H580)))),"Precio no es número",IF(N(G580)+N(H580)&lt;=0,"Falta precio","✓ OK")))))))))))</f>
        <v/>
      </c>
      <c r="M580" t="str">
        <f>IF(N580&lt;&gt;"W","",IF(TRIM(C580)&lt;&gt;"",TRIM(C580),IFERROR(LOOKUP(2,1/(N$9:N580="T"),D$9:D580),"")))</f>
        <v/>
      </c>
      <c r="N580" t="str">
        <f t="shared" si="26"/>
        <v/>
      </c>
      <c r="O580" t="str">
        <f>IF(M580="","",IF(COUNTIF(M$9:M580,M580)=1,MAX(O$8:O579)+1,""))</f>
        <v/>
      </c>
    </row>
    <row r="581" spans="1:15" x14ac:dyDescent="0.75">
      <c r="A581" s="24" t="str">
        <f>IF(N581="W",COUNTIF(N$9:N581,"W"),"")</f>
        <v/>
      </c>
      <c r="B581" s="25"/>
      <c r="C581" s="25"/>
      <c r="D581" s="26"/>
      <c r="E581" s="25"/>
      <c r="F581" s="27"/>
      <c r="G581" s="28"/>
      <c r="H581" s="28"/>
      <c r="I581" s="29" t="str">
        <f t="shared" si="24"/>
        <v/>
      </c>
      <c r="J581" s="30" t="str">
        <f t="shared" si="25"/>
        <v/>
      </c>
      <c r="K581" s="26"/>
      <c r="L581" s="24" t="str">
        <f>IF(N581="","",IF(N581="T","Título de capítulo",IF(OR(ISERROR(F581),ISERROR(G581),ISERROR(H581)),"Error en fórmula: pegá como valores",IF(AND(B581="",$C$6=""),"Falta sector",IF(M581="","Falta capítulo",IF(TRIM(E581)="","Falta unidad",IF(NOT((COUNTIF(Listas!$A$2:$A$40,E581)+COUNTIF(Listas!$D$2:$D$60,E581)&gt;0)),"Unidad no reconocida",IF(AND(F581&lt;&gt;"",NOT(ISNUMBER(F581))),"Cantidad no es número",IF(N(F581)&lt;=0,"Falta cantidad",IF(OR(AND(G581&lt;&gt;"",NOT(ISNUMBER(G581))),AND(H581&lt;&gt;"",NOT(ISNUMBER(H581)))),"Precio no es número",IF(N(G581)+N(H581)&lt;=0,"Falta precio","✓ OK")))))))))))</f>
        <v/>
      </c>
      <c r="M581" t="str">
        <f>IF(N581&lt;&gt;"W","",IF(TRIM(C581)&lt;&gt;"",TRIM(C581),IFERROR(LOOKUP(2,1/(N$9:N581="T"),D$9:D581),"")))</f>
        <v/>
      </c>
      <c r="N581" t="str">
        <f t="shared" si="26"/>
        <v/>
      </c>
      <c r="O581" t="str">
        <f>IF(M581="","",IF(COUNTIF(M$9:M581,M581)=1,MAX(O$8:O580)+1,""))</f>
        <v/>
      </c>
    </row>
    <row r="582" spans="1:15" x14ac:dyDescent="0.75">
      <c r="A582" s="24" t="str">
        <f>IF(N582="W",COUNTIF(N$9:N582,"W"),"")</f>
        <v/>
      </c>
      <c r="B582" s="25"/>
      <c r="C582" s="25"/>
      <c r="D582" s="26"/>
      <c r="E582" s="25"/>
      <c r="F582" s="27"/>
      <c r="G582" s="28"/>
      <c r="H582" s="28"/>
      <c r="I582" s="29" t="str">
        <f t="shared" si="24"/>
        <v/>
      </c>
      <c r="J582" s="30" t="str">
        <f t="shared" si="25"/>
        <v/>
      </c>
      <c r="K582" s="26"/>
      <c r="L582" s="24" t="str">
        <f>IF(N582="","",IF(N582="T","Título de capítulo",IF(OR(ISERROR(F582),ISERROR(G582),ISERROR(H582)),"Error en fórmula: pegá como valores",IF(AND(B582="",$C$6=""),"Falta sector",IF(M582="","Falta capítulo",IF(TRIM(E582)="","Falta unidad",IF(NOT((COUNTIF(Listas!$A$2:$A$40,E582)+COUNTIF(Listas!$D$2:$D$60,E582)&gt;0)),"Unidad no reconocida",IF(AND(F582&lt;&gt;"",NOT(ISNUMBER(F582))),"Cantidad no es número",IF(N(F582)&lt;=0,"Falta cantidad",IF(OR(AND(G582&lt;&gt;"",NOT(ISNUMBER(G582))),AND(H582&lt;&gt;"",NOT(ISNUMBER(H582)))),"Precio no es número",IF(N(G582)+N(H582)&lt;=0,"Falta precio","✓ OK")))))))))))</f>
        <v/>
      </c>
      <c r="M582" t="str">
        <f>IF(N582&lt;&gt;"W","",IF(TRIM(C582)&lt;&gt;"",TRIM(C582),IFERROR(LOOKUP(2,1/(N$9:N582="T"),D$9:D582),"")))</f>
        <v/>
      </c>
      <c r="N582" t="str">
        <f t="shared" si="26"/>
        <v/>
      </c>
      <c r="O582" t="str">
        <f>IF(M582="","",IF(COUNTIF(M$9:M582,M582)=1,MAX(O$8:O581)+1,""))</f>
        <v/>
      </c>
    </row>
    <row r="583" spans="1:15" x14ac:dyDescent="0.75">
      <c r="A583" s="24" t="str">
        <f>IF(N583="W",COUNTIF(N$9:N583,"W"),"")</f>
        <v/>
      </c>
      <c r="B583" s="25"/>
      <c r="C583" s="25"/>
      <c r="D583" s="26"/>
      <c r="E583" s="25"/>
      <c r="F583" s="27"/>
      <c r="G583" s="28"/>
      <c r="H583" s="28"/>
      <c r="I583" s="29" t="str">
        <f t="shared" si="24"/>
        <v/>
      </c>
      <c r="J583" s="30" t="str">
        <f t="shared" si="25"/>
        <v/>
      </c>
      <c r="K583" s="26"/>
      <c r="L583" s="24" t="str">
        <f>IF(N583="","",IF(N583="T","Título de capítulo",IF(OR(ISERROR(F583),ISERROR(G583),ISERROR(H583)),"Error en fórmula: pegá como valores",IF(AND(B583="",$C$6=""),"Falta sector",IF(M583="","Falta capítulo",IF(TRIM(E583)="","Falta unidad",IF(NOT((COUNTIF(Listas!$A$2:$A$40,E583)+COUNTIF(Listas!$D$2:$D$60,E583)&gt;0)),"Unidad no reconocida",IF(AND(F583&lt;&gt;"",NOT(ISNUMBER(F583))),"Cantidad no es número",IF(N(F583)&lt;=0,"Falta cantidad",IF(OR(AND(G583&lt;&gt;"",NOT(ISNUMBER(G583))),AND(H583&lt;&gt;"",NOT(ISNUMBER(H583)))),"Precio no es número",IF(N(G583)+N(H583)&lt;=0,"Falta precio","✓ OK")))))))))))</f>
        <v/>
      </c>
      <c r="M583" t="str">
        <f>IF(N583&lt;&gt;"W","",IF(TRIM(C583)&lt;&gt;"",TRIM(C583),IFERROR(LOOKUP(2,1/(N$9:N583="T"),D$9:D583),"")))</f>
        <v/>
      </c>
      <c r="N583" t="str">
        <f t="shared" si="26"/>
        <v/>
      </c>
      <c r="O583" t="str">
        <f>IF(M583="","",IF(COUNTIF(M$9:M583,M583)=1,MAX(O$8:O582)+1,""))</f>
        <v/>
      </c>
    </row>
    <row r="584" spans="1:15" x14ac:dyDescent="0.75">
      <c r="A584" s="24" t="str">
        <f>IF(N584="W",COUNTIF(N$9:N584,"W"),"")</f>
        <v/>
      </c>
      <c r="B584" s="25"/>
      <c r="C584" s="25"/>
      <c r="D584" s="26"/>
      <c r="E584" s="25"/>
      <c r="F584" s="27"/>
      <c r="G584" s="28"/>
      <c r="H584" s="28"/>
      <c r="I584" s="29" t="str">
        <f t="shared" si="24"/>
        <v/>
      </c>
      <c r="J584" s="30" t="str">
        <f t="shared" si="25"/>
        <v/>
      </c>
      <c r="K584" s="26"/>
      <c r="L584" s="24" t="str">
        <f>IF(N584="","",IF(N584="T","Título de capítulo",IF(OR(ISERROR(F584),ISERROR(G584),ISERROR(H584)),"Error en fórmula: pegá como valores",IF(AND(B584="",$C$6=""),"Falta sector",IF(M584="","Falta capítulo",IF(TRIM(E584)="","Falta unidad",IF(NOT((COUNTIF(Listas!$A$2:$A$40,E584)+COUNTIF(Listas!$D$2:$D$60,E584)&gt;0)),"Unidad no reconocida",IF(AND(F584&lt;&gt;"",NOT(ISNUMBER(F584))),"Cantidad no es número",IF(N(F584)&lt;=0,"Falta cantidad",IF(OR(AND(G584&lt;&gt;"",NOT(ISNUMBER(G584))),AND(H584&lt;&gt;"",NOT(ISNUMBER(H584)))),"Precio no es número",IF(N(G584)+N(H584)&lt;=0,"Falta precio","✓ OK")))))))))))</f>
        <v/>
      </c>
      <c r="M584" t="str">
        <f>IF(N584&lt;&gt;"W","",IF(TRIM(C584)&lt;&gt;"",TRIM(C584),IFERROR(LOOKUP(2,1/(N$9:N584="T"),D$9:D584),"")))</f>
        <v/>
      </c>
      <c r="N584" t="str">
        <f t="shared" si="26"/>
        <v/>
      </c>
      <c r="O584" t="str">
        <f>IF(M584="","",IF(COUNTIF(M$9:M584,M584)=1,MAX(O$8:O583)+1,""))</f>
        <v/>
      </c>
    </row>
    <row r="585" spans="1:15" x14ac:dyDescent="0.75">
      <c r="A585" s="24" t="str">
        <f>IF(N585="W",COUNTIF(N$9:N585,"W"),"")</f>
        <v/>
      </c>
      <c r="B585" s="25"/>
      <c r="C585" s="25"/>
      <c r="D585" s="26"/>
      <c r="E585" s="25"/>
      <c r="F585" s="27"/>
      <c r="G585" s="28"/>
      <c r="H585" s="28"/>
      <c r="I585" s="29" t="str">
        <f t="shared" ref="I585:I648" si="27">IF(N585="W",IFERROR(N(G585)+N(H585),0),"")</f>
        <v/>
      </c>
      <c r="J585" s="30" t="str">
        <f t="shared" ref="J585:J648" si="28">IF(N585="W",IFERROR(N(F585)*I585,0),"")</f>
        <v/>
      </c>
      <c r="K585" s="26"/>
      <c r="L585" s="24" t="str">
        <f>IF(N585="","",IF(N585="T","Título de capítulo",IF(OR(ISERROR(F585),ISERROR(G585),ISERROR(H585)),"Error en fórmula: pegá como valores",IF(AND(B585="",$C$6=""),"Falta sector",IF(M585="","Falta capítulo",IF(TRIM(E585)="","Falta unidad",IF(NOT((COUNTIF(Listas!$A$2:$A$40,E585)+COUNTIF(Listas!$D$2:$D$60,E585)&gt;0)),"Unidad no reconocida",IF(AND(F585&lt;&gt;"",NOT(ISNUMBER(F585))),"Cantidad no es número",IF(N(F585)&lt;=0,"Falta cantidad",IF(OR(AND(G585&lt;&gt;"",NOT(ISNUMBER(G585))),AND(H585&lt;&gt;"",NOT(ISNUMBER(H585)))),"Precio no es número",IF(N(G585)+N(H585)&lt;=0,"Falta precio","✓ OK")))))))))))</f>
        <v/>
      </c>
      <c r="M585" t="str">
        <f>IF(N585&lt;&gt;"W","",IF(TRIM(C585)&lt;&gt;"",TRIM(C585),IFERROR(LOOKUP(2,1/(N$9:N585="T"),D$9:D585),"")))</f>
        <v/>
      </c>
      <c r="N585" t="str">
        <f t="shared" ref="N585:N648" si="29">IF(TRIM(D585)="","",IF(AND(TRIM(E585)="",IFERROR(N(F585),1)=0,IFERROR(N(G585)+N(H585),1)=0),"T","W"))</f>
        <v/>
      </c>
      <c r="O585" t="str">
        <f>IF(M585="","",IF(COUNTIF(M$9:M585,M585)=1,MAX(O$8:O584)+1,""))</f>
        <v/>
      </c>
    </row>
    <row r="586" spans="1:15" x14ac:dyDescent="0.75">
      <c r="A586" s="24" t="str">
        <f>IF(N586="W",COUNTIF(N$9:N586,"W"),"")</f>
        <v/>
      </c>
      <c r="B586" s="25"/>
      <c r="C586" s="25"/>
      <c r="D586" s="26"/>
      <c r="E586" s="25"/>
      <c r="F586" s="27"/>
      <c r="G586" s="28"/>
      <c r="H586" s="28"/>
      <c r="I586" s="29" t="str">
        <f t="shared" si="27"/>
        <v/>
      </c>
      <c r="J586" s="30" t="str">
        <f t="shared" si="28"/>
        <v/>
      </c>
      <c r="K586" s="26"/>
      <c r="L586" s="24" t="str">
        <f>IF(N586="","",IF(N586="T","Título de capítulo",IF(OR(ISERROR(F586),ISERROR(G586),ISERROR(H586)),"Error en fórmula: pegá como valores",IF(AND(B586="",$C$6=""),"Falta sector",IF(M586="","Falta capítulo",IF(TRIM(E586)="","Falta unidad",IF(NOT((COUNTIF(Listas!$A$2:$A$40,E586)+COUNTIF(Listas!$D$2:$D$60,E586)&gt;0)),"Unidad no reconocida",IF(AND(F586&lt;&gt;"",NOT(ISNUMBER(F586))),"Cantidad no es número",IF(N(F586)&lt;=0,"Falta cantidad",IF(OR(AND(G586&lt;&gt;"",NOT(ISNUMBER(G586))),AND(H586&lt;&gt;"",NOT(ISNUMBER(H586)))),"Precio no es número",IF(N(G586)+N(H586)&lt;=0,"Falta precio","✓ OK")))))))))))</f>
        <v/>
      </c>
      <c r="M586" t="str">
        <f>IF(N586&lt;&gt;"W","",IF(TRIM(C586)&lt;&gt;"",TRIM(C586),IFERROR(LOOKUP(2,1/(N$9:N586="T"),D$9:D586),"")))</f>
        <v/>
      </c>
      <c r="N586" t="str">
        <f t="shared" si="29"/>
        <v/>
      </c>
      <c r="O586" t="str">
        <f>IF(M586="","",IF(COUNTIF(M$9:M586,M586)=1,MAX(O$8:O585)+1,""))</f>
        <v/>
      </c>
    </row>
    <row r="587" spans="1:15" x14ac:dyDescent="0.75">
      <c r="A587" s="24" t="str">
        <f>IF(N587="W",COUNTIF(N$9:N587,"W"),"")</f>
        <v/>
      </c>
      <c r="B587" s="25"/>
      <c r="C587" s="25"/>
      <c r="D587" s="26"/>
      <c r="E587" s="25"/>
      <c r="F587" s="27"/>
      <c r="G587" s="28"/>
      <c r="H587" s="28"/>
      <c r="I587" s="29" t="str">
        <f t="shared" si="27"/>
        <v/>
      </c>
      <c r="J587" s="30" t="str">
        <f t="shared" si="28"/>
        <v/>
      </c>
      <c r="K587" s="26"/>
      <c r="L587" s="24" t="str">
        <f>IF(N587="","",IF(N587="T","Título de capítulo",IF(OR(ISERROR(F587),ISERROR(G587),ISERROR(H587)),"Error en fórmula: pegá como valores",IF(AND(B587="",$C$6=""),"Falta sector",IF(M587="","Falta capítulo",IF(TRIM(E587)="","Falta unidad",IF(NOT((COUNTIF(Listas!$A$2:$A$40,E587)+COUNTIF(Listas!$D$2:$D$60,E587)&gt;0)),"Unidad no reconocida",IF(AND(F587&lt;&gt;"",NOT(ISNUMBER(F587))),"Cantidad no es número",IF(N(F587)&lt;=0,"Falta cantidad",IF(OR(AND(G587&lt;&gt;"",NOT(ISNUMBER(G587))),AND(H587&lt;&gt;"",NOT(ISNUMBER(H587)))),"Precio no es número",IF(N(G587)+N(H587)&lt;=0,"Falta precio","✓ OK")))))))))))</f>
        <v/>
      </c>
      <c r="M587" t="str">
        <f>IF(N587&lt;&gt;"W","",IF(TRIM(C587)&lt;&gt;"",TRIM(C587),IFERROR(LOOKUP(2,1/(N$9:N587="T"),D$9:D587),"")))</f>
        <v/>
      </c>
      <c r="N587" t="str">
        <f t="shared" si="29"/>
        <v/>
      </c>
      <c r="O587" t="str">
        <f>IF(M587="","",IF(COUNTIF(M$9:M587,M587)=1,MAX(O$8:O586)+1,""))</f>
        <v/>
      </c>
    </row>
    <row r="588" spans="1:15" x14ac:dyDescent="0.75">
      <c r="A588" s="24" t="str">
        <f>IF(N588="W",COUNTIF(N$9:N588,"W"),"")</f>
        <v/>
      </c>
      <c r="B588" s="25"/>
      <c r="C588" s="25"/>
      <c r="D588" s="26"/>
      <c r="E588" s="25"/>
      <c r="F588" s="27"/>
      <c r="G588" s="28"/>
      <c r="H588" s="28"/>
      <c r="I588" s="29" t="str">
        <f t="shared" si="27"/>
        <v/>
      </c>
      <c r="J588" s="30" t="str">
        <f t="shared" si="28"/>
        <v/>
      </c>
      <c r="K588" s="26"/>
      <c r="L588" s="24" t="str">
        <f>IF(N588="","",IF(N588="T","Título de capítulo",IF(OR(ISERROR(F588),ISERROR(G588),ISERROR(H588)),"Error en fórmula: pegá como valores",IF(AND(B588="",$C$6=""),"Falta sector",IF(M588="","Falta capítulo",IF(TRIM(E588)="","Falta unidad",IF(NOT((COUNTIF(Listas!$A$2:$A$40,E588)+COUNTIF(Listas!$D$2:$D$60,E588)&gt;0)),"Unidad no reconocida",IF(AND(F588&lt;&gt;"",NOT(ISNUMBER(F588))),"Cantidad no es número",IF(N(F588)&lt;=0,"Falta cantidad",IF(OR(AND(G588&lt;&gt;"",NOT(ISNUMBER(G588))),AND(H588&lt;&gt;"",NOT(ISNUMBER(H588)))),"Precio no es número",IF(N(G588)+N(H588)&lt;=0,"Falta precio","✓ OK")))))))))))</f>
        <v/>
      </c>
      <c r="M588" t="str">
        <f>IF(N588&lt;&gt;"W","",IF(TRIM(C588)&lt;&gt;"",TRIM(C588),IFERROR(LOOKUP(2,1/(N$9:N588="T"),D$9:D588),"")))</f>
        <v/>
      </c>
      <c r="N588" t="str">
        <f t="shared" si="29"/>
        <v/>
      </c>
      <c r="O588" t="str">
        <f>IF(M588="","",IF(COUNTIF(M$9:M588,M588)=1,MAX(O$8:O587)+1,""))</f>
        <v/>
      </c>
    </row>
    <row r="589" spans="1:15" x14ac:dyDescent="0.75">
      <c r="A589" s="24" t="str">
        <f>IF(N589="W",COUNTIF(N$9:N589,"W"),"")</f>
        <v/>
      </c>
      <c r="B589" s="25"/>
      <c r="C589" s="25"/>
      <c r="D589" s="26"/>
      <c r="E589" s="25"/>
      <c r="F589" s="27"/>
      <c r="G589" s="28"/>
      <c r="H589" s="28"/>
      <c r="I589" s="29" t="str">
        <f t="shared" si="27"/>
        <v/>
      </c>
      <c r="J589" s="30" t="str">
        <f t="shared" si="28"/>
        <v/>
      </c>
      <c r="K589" s="26"/>
      <c r="L589" s="24" t="str">
        <f>IF(N589="","",IF(N589="T","Título de capítulo",IF(OR(ISERROR(F589),ISERROR(G589),ISERROR(H589)),"Error en fórmula: pegá como valores",IF(AND(B589="",$C$6=""),"Falta sector",IF(M589="","Falta capítulo",IF(TRIM(E589)="","Falta unidad",IF(NOT((COUNTIF(Listas!$A$2:$A$40,E589)+COUNTIF(Listas!$D$2:$D$60,E589)&gt;0)),"Unidad no reconocida",IF(AND(F589&lt;&gt;"",NOT(ISNUMBER(F589))),"Cantidad no es número",IF(N(F589)&lt;=0,"Falta cantidad",IF(OR(AND(G589&lt;&gt;"",NOT(ISNUMBER(G589))),AND(H589&lt;&gt;"",NOT(ISNUMBER(H589)))),"Precio no es número",IF(N(G589)+N(H589)&lt;=0,"Falta precio","✓ OK")))))))))))</f>
        <v/>
      </c>
      <c r="M589" t="str">
        <f>IF(N589&lt;&gt;"W","",IF(TRIM(C589)&lt;&gt;"",TRIM(C589),IFERROR(LOOKUP(2,1/(N$9:N589="T"),D$9:D589),"")))</f>
        <v/>
      </c>
      <c r="N589" t="str">
        <f t="shared" si="29"/>
        <v/>
      </c>
      <c r="O589" t="str">
        <f>IF(M589="","",IF(COUNTIF(M$9:M589,M589)=1,MAX(O$8:O588)+1,""))</f>
        <v/>
      </c>
    </row>
    <row r="590" spans="1:15" x14ac:dyDescent="0.75">
      <c r="A590" s="24" t="str">
        <f>IF(N590="W",COUNTIF(N$9:N590,"W"),"")</f>
        <v/>
      </c>
      <c r="B590" s="25"/>
      <c r="C590" s="25"/>
      <c r="D590" s="26"/>
      <c r="E590" s="25"/>
      <c r="F590" s="27"/>
      <c r="G590" s="28"/>
      <c r="H590" s="28"/>
      <c r="I590" s="29" t="str">
        <f t="shared" si="27"/>
        <v/>
      </c>
      <c r="J590" s="30" t="str">
        <f t="shared" si="28"/>
        <v/>
      </c>
      <c r="K590" s="26"/>
      <c r="L590" s="24" t="str">
        <f>IF(N590="","",IF(N590="T","Título de capítulo",IF(OR(ISERROR(F590),ISERROR(G590),ISERROR(H590)),"Error en fórmula: pegá como valores",IF(AND(B590="",$C$6=""),"Falta sector",IF(M590="","Falta capítulo",IF(TRIM(E590)="","Falta unidad",IF(NOT((COUNTIF(Listas!$A$2:$A$40,E590)+COUNTIF(Listas!$D$2:$D$60,E590)&gt;0)),"Unidad no reconocida",IF(AND(F590&lt;&gt;"",NOT(ISNUMBER(F590))),"Cantidad no es número",IF(N(F590)&lt;=0,"Falta cantidad",IF(OR(AND(G590&lt;&gt;"",NOT(ISNUMBER(G590))),AND(H590&lt;&gt;"",NOT(ISNUMBER(H590)))),"Precio no es número",IF(N(G590)+N(H590)&lt;=0,"Falta precio","✓ OK")))))))))))</f>
        <v/>
      </c>
      <c r="M590" t="str">
        <f>IF(N590&lt;&gt;"W","",IF(TRIM(C590)&lt;&gt;"",TRIM(C590),IFERROR(LOOKUP(2,1/(N$9:N590="T"),D$9:D590),"")))</f>
        <v/>
      </c>
      <c r="N590" t="str">
        <f t="shared" si="29"/>
        <v/>
      </c>
      <c r="O590" t="str">
        <f>IF(M590="","",IF(COUNTIF(M$9:M590,M590)=1,MAX(O$8:O589)+1,""))</f>
        <v/>
      </c>
    </row>
    <row r="591" spans="1:15" x14ac:dyDescent="0.75">
      <c r="A591" s="24" t="str">
        <f>IF(N591="W",COUNTIF(N$9:N591,"W"),"")</f>
        <v/>
      </c>
      <c r="B591" s="25"/>
      <c r="C591" s="25"/>
      <c r="D591" s="26"/>
      <c r="E591" s="25"/>
      <c r="F591" s="27"/>
      <c r="G591" s="28"/>
      <c r="H591" s="28"/>
      <c r="I591" s="29" t="str">
        <f t="shared" si="27"/>
        <v/>
      </c>
      <c r="J591" s="30" t="str">
        <f t="shared" si="28"/>
        <v/>
      </c>
      <c r="K591" s="26"/>
      <c r="L591" s="24" t="str">
        <f>IF(N591="","",IF(N591="T","Título de capítulo",IF(OR(ISERROR(F591),ISERROR(G591),ISERROR(H591)),"Error en fórmula: pegá como valores",IF(AND(B591="",$C$6=""),"Falta sector",IF(M591="","Falta capítulo",IF(TRIM(E591)="","Falta unidad",IF(NOT((COUNTIF(Listas!$A$2:$A$40,E591)+COUNTIF(Listas!$D$2:$D$60,E591)&gt;0)),"Unidad no reconocida",IF(AND(F591&lt;&gt;"",NOT(ISNUMBER(F591))),"Cantidad no es número",IF(N(F591)&lt;=0,"Falta cantidad",IF(OR(AND(G591&lt;&gt;"",NOT(ISNUMBER(G591))),AND(H591&lt;&gt;"",NOT(ISNUMBER(H591)))),"Precio no es número",IF(N(G591)+N(H591)&lt;=0,"Falta precio","✓ OK")))))))))))</f>
        <v/>
      </c>
      <c r="M591" t="str">
        <f>IF(N591&lt;&gt;"W","",IF(TRIM(C591)&lt;&gt;"",TRIM(C591),IFERROR(LOOKUP(2,1/(N$9:N591="T"),D$9:D591),"")))</f>
        <v/>
      </c>
      <c r="N591" t="str">
        <f t="shared" si="29"/>
        <v/>
      </c>
      <c r="O591" t="str">
        <f>IF(M591="","",IF(COUNTIF(M$9:M591,M591)=1,MAX(O$8:O590)+1,""))</f>
        <v/>
      </c>
    </row>
    <row r="592" spans="1:15" x14ac:dyDescent="0.75">
      <c r="A592" s="24" t="str">
        <f>IF(N592="W",COUNTIF(N$9:N592,"W"),"")</f>
        <v/>
      </c>
      <c r="B592" s="25"/>
      <c r="C592" s="25"/>
      <c r="D592" s="26"/>
      <c r="E592" s="25"/>
      <c r="F592" s="27"/>
      <c r="G592" s="28"/>
      <c r="H592" s="28"/>
      <c r="I592" s="29" t="str">
        <f t="shared" si="27"/>
        <v/>
      </c>
      <c r="J592" s="30" t="str">
        <f t="shared" si="28"/>
        <v/>
      </c>
      <c r="K592" s="26"/>
      <c r="L592" s="24" t="str">
        <f>IF(N592="","",IF(N592="T","Título de capítulo",IF(OR(ISERROR(F592),ISERROR(G592),ISERROR(H592)),"Error en fórmula: pegá como valores",IF(AND(B592="",$C$6=""),"Falta sector",IF(M592="","Falta capítulo",IF(TRIM(E592)="","Falta unidad",IF(NOT((COUNTIF(Listas!$A$2:$A$40,E592)+COUNTIF(Listas!$D$2:$D$60,E592)&gt;0)),"Unidad no reconocida",IF(AND(F592&lt;&gt;"",NOT(ISNUMBER(F592))),"Cantidad no es número",IF(N(F592)&lt;=0,"Falta cantidad",IF(OR(AND(G592&lt;&gt;"",NOT(ISNUMBER(G592))),AND(H592&lt;&gt;"",NOT(ISNUMBER(H592)))),"Precio no es número",IF(N(G592)+N(H592)&lt;=0,"Falta precio","✓ OK")))))))))))</f>
        <v/>
      </c>
      <c r="M592" t="str">
        <f>IF(N592&lt;&gt;"W","",IF(TRIM(C592)&lt;&gt;"",TRIM(C592),IFERROR(LOOKUP(2,1/(N$9:N592="T"),D$9:D592),"")))</f>
        <v/>
      </c>
      <c r="N592" t="str">
        <f t="shared" si="29"/>
        <v/>
      </c>
      <c r="O592" t="str">
        <f>IF(M592="","",IF(COUNTIF(M$9:M592,M592)=1,MAX(O$8:O591)+1,""))</f>
        <v/>
      </c>
    </row>
    <row r="593" spans="1:15" x14ac:dyDescent="0.75">
      <c r="A593" s="24" t="str">
        <f>IF(N593="W",COUNTIF(N$9:N593,"W"),"")</f>
        <v/>
      </c>
      <c r="B593" s="25"/>
      <c r="C593" s="25"/>
      <c r="D593" s="26"/>
      <c r="E593" s="25"/>
      <c r="F593" s="27"/>
      <c r="G593" s="28"/>
      <c r="H593" s="28"/>
      <c r="I593" s="29" t="str">
        <f t="shared" si="27"/>
        <v/>
      </c>
      <c r="J593" s="30" t="str">
        <f t="shared" si="28"/>
        <v/>
      </c>
      <c r="K593" s="26"/>
      <c r="L593" s="24" t="str">
        <f>IF(N593="","",IF(N593="T","Título de capítulo",IF(OR(ISERROR(F593),ISERROR(G593),ISERROR(H593)),"Error en fórmula: pegá como valores",IF(AND(B593="",$C$6=""),"Falta sector",IF(M593="","Falta capítulo",IF(TRIM(E593)="","Falta unidad",IF(NOT((COUNTIF(Listas!$A$2:$A$40,E593)+COUNTIF(Listas!$D$2:$D$60,E593)&gt;0)),"Unidad no reconocida",IF(AND(F593&lt;&gt;"",NOT(ISNUMBER(F593))),"Cantidad no es número",IF(N(F593)&lt;=0,"Falta cantidad",IF(OR(AND(G593&lt;&gt;"",NOT(ISNUMBER(G593))),AND(H593&lt;&gt;"",NOT(ISNUMBER(H593)))),"Precio no es número",IF(N(G593)+N(H593)&lt;=0,"Falta precio","✓ OK")))))))))))</f>
        <v/>
      </c>
      <c r="M593" t="str">
        <f>IF(N593&lt;&gt;"W","",IF(TRIM(C593)&lt;&gt;"",TRIM(C593),IFERROR(LOOKUP(2,1/(N$9:N593="T"),D$9:D593),"")))</f>
        <v/>
      </c>
      <c r="N593" t="str">
        <f t="shared" si="29"/>
        <v/>
      </c>
      <c r="O593" t="str">
        <f>IF(M593="","",IF(COUNTIF(M$9:M593,M593)=1,MAX(O$8:O592)+1,""))</f>
        <v/>
      </c>
    </row>
    <row r="594" spans="1:15" x14ac:dyDescent="0.75">
      <c r="A594" s="24" t="str">
        <f>IF(N594="W",COUNTIF(N$9:N594,"W"),"")</f>
        <v/>
      </c>
      <c r="B594" s="25"/>
      <c r="C594" s="25"/>
      <c r="D594" s="26"/>
      <c r="E594" s="25"/>
      <c r="F594" s="27"/>
      <c r="G594" s="28"/>
      <c r="H594" s="28"/>
      <c r="I594" s="29" t="str">
        <f t="shared" si="27"/>
        <v/>
      </c>
      <c r="J594" s="30" t="str">
        <f t="shared" si="28"/>
        <v/>
      </c>
      <c r="K594" s="26"/>
      <c r="L594" s="24" t="str">
        <f>IF(N594="","",IF(N594="T","Título de capítulo",IF(OR(ISERROR(F594),ISERROR(G594),ISERROR(H594)),"Error en fórmula: pegá como valores",IF(AND(B594="",$C$6=""),"Falta sector",IF(M594="","Falta capítulo",IF(TRIM(E594)="","Falta unidad",IF(NOT((COUNTIF(Listas!$A$2:$A$40,E594)+COUNTIF(Listas!$D$2:$D$60,E594)&gt;0)),"Unidad no reconocida",IF(AND(F594&lt;&gt;"",NOT(ISNUMBER(F594))),"Cantidad no es número",IF(N(F594)&lt;=0,"Falta cantidad",IF(OR(AND(G594&lt;&gt;"",NOT(ISNUMBER(G594))),AND(H594&lt;&gt;"",NOT(ISNUMBER(H594)))),"Precio no es número",IF(N(G594)+N(H594)&lt;=0,"Falta precio","✓ OK")))))))))))</f>
        <v/>
      </c>
      <c r="M594" t="str">
        <f>IF(N594&lt;&gt;"W","",IF(TRIM(C594)&lt;&gt;"",TRIM(C594),IFERROR(LOOKUP(2,1/(N$9:N594="T"),D$9:D594),"")))</f>
        <v/>
      </c>
      <c r="N594" t="str">
        <f t="shared" si="29"/>
        <v/>
      </c>
      <c r="O594" t="str">
        <f>IF(M594="","",IF(COUNTIF(M$9:M594,M594)=1,MAX(O$8:O593)+1,""))</f>
        <v/>
      </c>
    </row>
    <row r="595" spans="1:15" x14ac:dyDescent="0.75">
      <c r="A595" s="24" t="str">
        <f>IF(N595="W",COUNTIF(N$9:N595,"W"),"")</f>
        <v/>
      </c>
      <c r="B595" s="25"/>
      <c r="C595" s="25"/>
      <c r="D595" s="26"/>
      <c r="E595" s="25"/>
      <c r="F595" s="27"/>
      <c r="G595" s="28"/>
      <c r="H595" s="28"/>
      <c r="I595" s="29" t="str">
        <f t="shared" si="27"/>
        <v/>
      </c>
      <c r="J595" s="30" t="str">
        <f t="shared" si="28"/>
        <v/>
      </c>
      <c r="K595" s="26"/>
      <c r="L595" s="24" t="str">
        <f>IF(N595="","",IF(N595="T","Título de capítulo",IF(OR(ISERROR(F595),ISERROR(G595),ISERROR(H595)),"Error en fórmula: pegá como valores",IF(AND(B595="",$C$6=""),"Falta sector",IF(M595="","Falta capítulo",IF(TRIM(E595)="","Falta unidad",IF(NOT((COUNTIF(Listas!$A$2:$A$40,E595)+COUNTIF(Listas!$D$2:$D$60,E595)&gt;0)),"Unidad no reconocida",IF(AND(F595&lt;&gt;"",NOT(ISNUMBER(F595))),"Cantidad no es número",IF(N(F595)&lt;=0,"Falta cantidad",IF(OR(AND(G595&lt;&gt;"",NOT(ISNUMBER(G595))),AND(H595&lt;&gt;"",NOT(ISNUMBER(H595)))),"Precio no es número",IF(N(G595)+N(H595)&lt;=0,"Falta precio","✓ OK")))))))))))</f>
        <v/>
      </c>
      <c r="M595" t="str">
        <f>IF(N595&lt;&gt;"W","",IF(TRIM(C595)&lt;&gt;"",TRIM(C595),IFERROR(LOOKUP(2,1/(N$9:N595="T"),D$9:D595),"")))</f>
        <v/>
      </c>
      <c r="N595" t="str">
        <f t="shared" si="29"/>
        <v/>
      </c>
      <c r="O595" t="str">
        <f>IF(M595="","",IF(COUNTIF(M$9:M595,M595)=1,MAX(O$8:O594)+1,""))</f>
        <v/>
      </c>
    </row>
    <row r="596" spans="1:15" x14ac:dyDescent="0.75">
      <c r="A596" s="24" t="str">
        <f>IF(N596="W",COUNTIF(N$9:N596,"W"),"")</f>
        <v/>
      </c>
      <c r="B596" s="25"/>
      <c r="C596" s="25"/>
      <c r="D596" s="26"/>
      <c r="E596" s="25"/>
      <c r="F596" s="27"/>
      <c r="G596" s="28"/>
      <c r="H596" s="28"/>
      <c r="I596" s="29" t="str">
        <f t="shared" si="27"/>
        <v/>
      </c>
      <c r="J596" s="30" t="str">
        <f t="shared" si="28"/>
        <v/>
      </c>
      <c r="K596" s="26"/>
      <c r="L596" s="24" t="str">
        <f>IF(N596="","",IF(N596="T","Título de capítulo",IF(OR(ISERROR(F596),ISERROR(G596),ISERROR(H596)),"Error en fórmula: pegá como valores",IF(AND(B596="",$C$6=""),"Falta sector",IF(M596="","Falta capítulo",IF(TRIM(E596)="","Falta unidad",IF(NOT((COUNTIF(Listas!$A$2:$A$40,E596)+COUNTIF(Listas!$D$2:$D$60,E596)&gt;0)),"Unidad no reconocida",IF(AND(F596&lt;&gt;"",NOT(ISNUMBER(F596))),"Cantidad no es número",IF(N(F596)&lt;=0,"Falta cantidad",IF(OR(AND(G596&lt;&gt;"",NOT(ISNUMBER(G596))),AND(H596&lt;&gt;"",NOT(ISNUMBER(H596)))),"Precio no es número",IF(N(G596)+N(H596)&lt;=0,"Falta precio","✓ OK")))))))))))</f>
        <v/>
      </c>
      <c r="M596" t="str">
        <f>IF(N596&lt;&gt;"W","",IF(TRIM(C596)&lt;&gt;"",TRIM(C596),IFERROR(LOOKUP(2,1/(N$9:N596="T"),D$9:D596),"")))</f>
        <v/>
      </c>
      <c r="N596" t="str">
        <f t="shared" si="29"/>
        <v/>
      </c>
      <c r="O596" t="str">
        <f>IF(M596="","",IF(COUNTIF(M$9:M596,M596)=1,MAX(O$8:O595)+1,""))</f>
        <v/>
      </c>
    </row>
    <row r="597" spans="1:15" x14ac:dyDescent="0.75">
      <c r="A597" s="24" t="str">
        <f>IF(N597="W",COUNTIF(N$9:N597,"W"),"")</f>
        <v/>
      </c>
      <c r="B597" s="25"/>
      <c r="C597" s="25"/>
      <c r="D597" s="26"/>
      <c r="E597" s="25"/>
      <c r="F597" s="27"/>
      <c r="G597" s="28"/>
      <c r="H597" s="28"/>
      <c r="I597" s="29" t="str">
        <f t="shared" si="27"/>
        <v/>
      </c>
      <c r="J597" s="30" t="str">
        <f t="shared" si="28"/>
        <v/>
      </c>
      <c r="K597" s="26"/>
      <c r="L597" s="24" t="str">
        <f>IF(N597="","",IF(N597="T","Título de capítulo",IF(OR(ISERROR(F597),ISERROR(G597),ISERROR(H597)),"Error en fórmula: pegá como valores",IF(AND(B597="",$C$6=""),"Falta sector",IF(M597="","Falta capítulo",IF(TRIM(E597)="","Falta unidad",IF(NOT((COUNTIF(Listas!$A$2:$A$40,E597)+COUNTIF(Listas!$D$2:$D$60,E597)&gt;0)),"Unidad no reconocida",IF(AND(F597&lt;&gt;"",NOT(ISNUMBER(F597))),"Cantidad no es número",IF(N(F597)&lt;=0,"Falta cantidad",IF(OR(AND(G597&lt;&gt;"",NOT(ISNUMBER(G597))),AND(H597&lt;&gt;"",NOT(ISNUMBER(H597)))),"Precio no es número",IF(N(G597)+N(H597)&lt;=0,"Falta precio","✓ OK")))))))))))</f>
        <v/>
      </c>
      <c r="M597" t="str">
        <f>IF(N597&lt;&gt;"W","",IF(TRIM(C597)&lt;&gt;"",TRIM(C597),IFERROR(LOOKUP(2,1/(N$9:N597="T"),D$9:D597),"")))</f>
        <v/>
      </c>
      <c r="N597" t="str">
        <f t="shared" si="29"/>
        <v/>
      </c>
      <c r="O597" t="str">
        <f>IF(M597="","",IF(COUNTIF(M$9:M597,M597)=1,MAX(O$8:O596)+1,""))</f>
        <v/>
      </c>
    </row>
    <row r="598" spans="1:15" x14ac:dyDescent="0.75">
      <c r="A598" s="24" t="str">
        <f>IF(N598="W",COUNTIF(N$9:N598,"W"),"")</f>
        <v/>
      </c>
      <c r="B598" s="25"/>
      <c r="C598" s="25"/>
      <c r="D598" s="26"/>
      <c r="E598" s="25"/>
      <c r="F598" s="27"/>
      <c r="G598" s="28"/>
      <c r="H598" s="28"/>
      <c r="I598" s="29" t="str">
        <f t="shared" si="27"/>
        <v/>
      </c>
      <c r="J598" s="30" t="str">
        <f t="shared" si="28"/>
        <v/>
      </c>
      <c r="K598" s="26"/>
      <c r="L598" s="24" t="str">
        <f>IF(N598="","",IF(N598="T","Título de capítulo",IF(OR(ISERROR(F598),ISERROR(G598),ISERROR(H598)),"Error en fórmula: pegá como valores",IF(AND(B598="",$C$6=""),"Falta sector",IF(M598="","Falta capítulo",IF(TRIM(E598)="","Falta unidad",IF(NOT((COUNTIF(Listas!$A$2:$A$40,E598)+COUNTIF(Listas!$D$2:$D$60,E598)&gt;0)),"Unidad no reconocida",IF(AND(F598&lt;&gt;"",NOT(ISNUMBER(F598))),"Cantidad no es número",IF(N(F598)&lt;=0,"Falta cantidad",IF(OR(AND(G598&lt;&gt;"",NOT(ISNUMBER(G598))),AND(H598&lt;&gt;"",NOT(ISNUMBER(H598)))),"Precio no es número",IF(N(G598)+N(H598)&lt;=0,"Falta precio","✓ OK")))))))))))</f>
        <v/>
      </c>
      <c r="M598" t="str">
        <f>IF(N598&lt;&gt;"W","",IF(TRIM(C598)&lt;&gt;"",TRIM(C598),IFERROR(LOOKUP(2,1/(N$9:N598="T"),D$9:D598),"")))</f>
        <v/>
      </c>
      <c r="N598" t="str">
        <f t="shared" si="29"/>
        <v/>
      </c>
      <c r="O598" t="str">
        <f>IF(M598="","",IF(COUNTIF(M$9:M598,M598)=1,MAX(O$8:O597)+1,""))</f>
        <v/>
      </c>
    </row>
    <row r="599" spans="1:15" x14ac:dyDescent="0.75">
      <c r="A599" s="24" t="str">
        <f>IF(N599="W",COUNTIF(N$9:N599,"W"),"")</f>
        <v/>
      </c>
      <c r="B599" s="25"/>
      <c r="C599" s="25"/>
      <c r="D599" s="26"/>
      <c r="E599" s="25"/>
      <c r="F599" s="27"/>
      <c r="G599" s="28"/>
      <c r="H599" s="28"/>
      <c r="I599" s="29" t="str">
        <f t="shared" si="27"/>
        <v/>
      </c>
      <c r="J599" s="30" t="str">
        <f t="shared" si="28"/>
        <v/>
      </c>
      <c r="K599" s="26"/>
      <c r="L599" s="24" t="str">
        <f>IF(N599="","",IF(N599="T","Título de capítulo",IF(OR(ISERROR(F599),ISERROR(G599),ISERROR(H599)),"Error en fórmula: pegá como valores",IF(AND(B599="",$C$6=""),"Falta sector",IF(M599="","Falta capítulo",IF(TRIM(E599)="","Falta unidad",IF(NOT((COUNTIF(Listas!$A$2:$A$40,E599)+COUNTIF(Listas!$D$2:$D$60,E599)&gt;0)),"Unidad no reconocida",IF(AND(F599&lt;&gt;"",NOT(ISNUMBER(F599))),"Cantidad no es número",IF(N(F599)&lt;=0,"Falta cantidad",IF(OR(AND(G599&lt;&gt;"",NOT(ISNUMBER(G599))),AND(H599&lt;&gt;"",NOT(ISNUMBER(H599)))),"Precio no es número",IF(N(G599)+N(H599)&lt;=0,"Falta precio","✓ OK")))))))))))</f>
        <v/>
      </c>
      <c r="M599" t="str">
        <f>IF(N599&lt;&gt;"W","",IF(TRIM(C599)&lt;&gt;"",TRIM(C599),IFERROR(LOOKUP(2,1/(N$9:N599="T"),D$9:D599),"")))</f>
        <v/>
      </c>
      <c r="N599" t="str">
        <f t="shared" si="29"/>
        <v/>
      </c>
      <c r="O599" t="str">
        <f>IF(M599="","",IF(COUNTIF(M$9:M599,M599)=1,MAX(O$8:O598)+1,""))</f>
        <v/>
      </c>
    </row>
    <row r="600" spans="1:15" x14ac:dyDescent="0.75">
      <c r="A600" s="24" t="str">
        <f>IF(N600="W",COUNTIF(N$9:N600,"W"),"")</f>
        <v/>
      </c>
      <c r="B600" s="25"/>
      <c r="C600" s="25"/>
      <c r="D600" s="26"/>
      <c r="E600" s="25"/>
      <c r="F600" s="27"/>
      <c r="G600" s="28"/>
      <c r="H600" s="28"/>
      <c r="I600" s="29" t="str">
        <f t="shared" si="27"/>
        <v/>
      </c>
      <c r="J600" s="30" t="str">
        <f t="shared" si="28"/>
        <v/>
      </c>
      <c r="K600" s="26"/>
      <c r="L600" s="24" t="str">
        <f>IF(N600="","",IF(N600="T","Título de capítulo",IF(OR(ISERROR(F600),ISERROR(G600),ISERROR(H600)),"Error en fórmula: pegá como valores",IF(AND(B600="",$C$6=""),"Falta sector",IF(M600="","Falta capítulo",IF(TRIM(E600)="","Falta unidad",IF(NOT((COUNTIF(Listas!$A$2:$A$40,E600)+COUNTIF(Listas!$D$2:$D$60,E600)&gt;0)),"Unidad no reconocida",IF(AND(F600&lt;&gt;"",NOT(ISNUMBER(F600))),"Cantidad no es número",IF(N(F600)&lt;=0,"Falta cantidad",IF(OR(AND(G600&lt;&gt;"",NOT(ISNUMBER(G600))),AND(H600&lt;&gt;"",NOT(ISNUMBER(H600)))),"Precio no es número",IF(N(G600)+N(H600)&lt;=0,"Falta precio","✓ OK")))))))))))</f>
        <v/>
      </c>
      <c r="M600" t="str">
        <f>IF(N600&lt;&gt;"W","",IF(TRIM(C600)&lt;&gt;"",TRIM(C600),IFERROR(LOOKUP(2,1/(N$9:N600="T"),D$9:D600),"")))</f>
        <v/>
      </c>
      <c r="N600" t="str">
        <f t="shared" si="29"/>
        <v/>
      </c>
      <c r="O600" t="str">
        <f>IF(M600="","",IF(COUNTIF(M$9:M600,M600)=1,MAX(O$8:O599)+1,""))</f>
        <v/>
      </c>
    </row>
    <row r="601" spans="1:15" x14ac:dyDescent="0.75">
      <c r="A601" s="24" t="str">
        <f>IF(N601="W",COUNTIF(N$9:N601,"W"),"")</f>
        <v/>
      </c>
      <c r="B601" s="25"/>
      <c r="C601" s="25"/>
      <c r="D601" s="26"/>
      <c r="E601" s="25"/>
      <c r="F601" s="27"/>
      <c r="G601" s="28"/>
      <c r="H601" s="28"/>
      <c r="I601" s="29" t="str">
        <f t="shared" si="27"/>
        <v/>
      </c>
      <c r="J601" s="30" t="str">
        <f t="shared" si="28"/>
        <v/>
      </c>
      <c r="K601" s="26"/>
      <c r="L601" s="24" t="str">
        <f>IF(N601="","",IF(N601="T","Título de capítulo",IF(OR(ISERROR(F601),ISERROR(G601),ISERROR(H601)),"Error en fórmula: pegá como valores",IF(AND(B601="",$C$6=""),"Falta sector",IF(M601="","Falta capítulo",IF(TRIM(E601)="","Falta unidad",IF(NOT((COUNTIF(Listas!$A$2:$A$40,E601)+COUNTIF(Listas!$D$2:$D$60,E601)&gt;0)),"Unidad no reconocida",IF(AND(F601&lt;&gt;"",NOT(ISNUMBER(F601))),"Cantidad no es número",IF(N(F601)&lt;=0,"Falta cantidad",IF(OR(AND(G601&lt;&gt;"",NOT(ISNUMBER(G601))),AND(H601&lt;&gt;"",NOT(ISNUMBER(H601)))),"Precio no es número",IF(N(G601)+N(H601)&lt;=0,"Falta precio","✓ OK")))))))))))</f>
        <v/>
      </c>
      <c r="M601" t="str">
        <f>IF(N601&lt;&gt;"W","",IF(TRIM(C601)&lt;&gt;"",TRIM(C601),IFERROR(LOOKUP(2,1/(N$9:N601="T"),D$9:D601),"")))</f>
        <v/>
      </c>
      <c r="N601" t="str">
        <f t="shared" si="29"/>
        <v/>
      </c>
      <c r="O601" t="str">
        <f>IF(M601="","",IF(COUNTIF(M$9:M601,M601)=1,MAX(O$8:O600)+1,""))</f>
        <v/>
      </c>
    </row>
    <row r="602" spans="1:15" x14ac:dyDescent="0.75">
      <c r="A602" s="24" t="str">
        <f>IF(N602="W",COUNTIF(N$9:N602,"W"),"")</f>
        <v/>
      </c>
      <c r="B602" s="25"/>
      <c r="C602" s="25"/>
      <c r="D602" s="26"/>
      <c r="E602" s="25"/>
      <c r="F602" s="27"/>
      <c r="G602" s="28"/>
      <c r="H602" s="28"/>
      <c r="I602" s="29" t="str">
        <f t="shared" si="27"/>
        <v/>
      </c>
      <c r="J602" s="30" t="str">
        <f t="shared" si="28"/>
        <v/>
      </c>
      <c r="K602" s="26"/>
      <c r="L602" s="24" t="str">
        <f>IF(N602="","",IF(N602="T","Título de capítulo",IF(OR(ISERROR(F602),ISERROR(G602),ISERROR(H602)),"Error en fórmula: pegá como valores",IF(AND(B602="",$C$6=""),"Falta sector",IF(M602="","Falta capítulo",IF(TRIM(E602)="","Falta unidad",IF(NOT((COUNTIF(Listas!$A$2:$A$40,E602)+COUNTIF(Listas!$D$2:$D$60,E602)&gt;0)),"Unidad no reconocida",IF(AND(F602&lt;&gt;"",NOT(ISNUMBER(F602))),"Cantidad no es número",IF(N(F602)&lt;=0,"Falta cantidad",IF(OR(AND(G602&lt;&gt;"",NOT(ISNUMBER(G602))),AND(H602&lt;&gt;"",NOT(ISNUMBER(H602)))),"Precio no es número",IF(N(G602)+N(H602)&lt;=0,"Falta precio","✓ OK")))))))))))</f>
        <v/>
      </c>
      <c r="M602" t="str">
        <f>IF(N602&lt;&gt;"W","",IF(TRIM(C602)&lt;&gt;"",TRIM(C602),IFERROR(LOOKUP(2,1/(N$9:N602="T"),D$9:D602),"")))</f>
        <v/>
      </c>
      <c r="N602" t="str">
        <f t="shared" si="29"/>
        <v/>
      </c>
      <c r="O602" t="str">
        <f>IF(M602="","",IF(COUNTIF(M$9:M602,M602)=1,MAX(O$8:O601)+1,""))</f>
        <v/>
      </c>
    </row>
    <row r="603" spans="1:15" x14ac:dyDescent="0.75">
      <c r="A603" s="24" t="str">
        <f>IF(N603="W",COUNTIF(N$9:N603,"W"),"")</f>
        <v/>
      </c>
      <c r="B603" s="25"/>
      <c r="C603" s="25"/>
      <c r="D603" s="26"/>
      <c r="E603" s="25"/>
      <c r="F603" s="27"/>
      <c r="G603" s="28"/>
      <c r="H603" s="28"/>
      <c r="I603" s="29" t="str">
        <f t="shared" si="27"/>
        <v/>
      </c>
      <c r="J603" s="30" t="str">
        <f t="shared" si="28"/>
        <v/>
      </c>
      <c r="K603" s="26"/>
      <c r="L603" s="24" t="str">
        <f>IF(N603="","",IF(N603="T","Título de capítulo",IF(OR(ISERROR(F603),ISERROR(G603),ISERROR(H603)),"Error en fórmula: pegá como valores",IF(AND(B603="",$C$6=""),"Falta sector",IF(M603="","Falta capítulo",IF(TRIM(E603)="","Falta unidad",IF(NOT((COUNTIF(Listas!$A$2:$A$40,E603)+COUNTIF(Listas!$D$2:$D$60,E603)&gt;0)),"Unidad no reconocida",IF(AND(F603&lt;&gt;"",NOT(ISNUMBER(F603))),"Cantidad no es número",IF(N(F603)&lt;=0,"Falta cantidad",IF(OR(AND(G603&lt;&gt;"",NOT(ISNUMBER(G603))),AND(H603&lt;&gt;"",NOT(ISNUMBER(H603)))),"Precio no es número",IF(N(G603)+N(H603)&lt;=0,"Falta precio","✓ OK")))))))))))</f>
        <v/>
      </c>
      <c r="M603" t="str">
        <f>IF(N603&lt;&gt;"W","",IF(TRIM(C603)&lt;&gt;"",TRIM(C603),IFERROR(LOOKUP(2,1/(N$9:N603="T"),D$9:D603),"")))</f>
        <v/>
      </c>
      <c r="N603" t="str">
        <f t="shared" si="29"/>
        <v/>
      </c>
      <c r="O603" t="str">
        <f>IF(M603="","",IF(COUNTIF(M$9:M603,M603)=1,MAX(O$8:O602)+1,""))</f>
        <v/>
      </c>
    </row>
    <row r="604" spans="1:15" x14ac:dyDescent="0.75">
      <c r="A604" s="24" t="str">
        <f>IF(N604="W",COUNTIF(N$9:N604,"W"),"")</f>
        <v/>
      </c>
      <c r="B604" s="25"/>
      <c r="C604" s="25"/>
      <c r="D604" s="26"/>
      <c r="E604" s="25"/>
      <c r="F604" s="27"/>
      <c r="G604" s="28"/>
      <c r="H604" s="28"/>
      <c r="I604" s="29" t="str">
        <f t="shared" si="27"/>
        <v/>
      </c>
      <c r="J604" s="30" t="str">
        <f t="shared" si="28"/>
        <v/>
      </c>
      <c r="K604" s="26"/>
      <c r="L604" s="24" t="str">
        <f>IF(N604="","",IF(N604="T","Título de capítulo",IF(OR(ISERROR(F604),ISERROR(G604),ISERROR(H604)),"Error en fórmula: pegá como valores",IF(AND(B604="",$C$6=""),"Falta sector",IF(M604="","Falta capítulo",IF(TRIM(E604)="","Falta unidad",IF(NOT((COUNTIF(Listas!$A$2:$A$40,E604)+COUNTIF(Listas!$D$2:$D$60,E604)&gt;0)),"Unidad no reconocida",IF(AND(F604&lt;&gt;"",NOT(ISNUMBER(F604))),"Cantidad no es número",IF(N(F604)&lt;=0,"Falta cantidad",IF(OR(AND(G604&lt;&gt;"",NOT(ISNUMBER(G604))),AND(H604&lt;&gt;"",NOT(ISNUMBER(H604)))),"Precio no es número",IF(N(G604)+N(H604)&lt;=0,"Falta precio","✓ OK")))))))))))</f>
        <v/>
      </c>
      <c r="M604" t="str">
        <f>IF(N604&lt;&gt;"W","",IF(TRIM(C604)&lt;&gt;"",TRIM(C604),IFERROR(LOOKUP(2,1/(N$9:N604="T"),D$9:D604),"")))</f>
        <v/>
      </c>
      <c r="N604" t="str">
        <f t="shared" si="29"/>
        <v/>
      </c>
      <c r="O604" t="str">
        <f>IF(M604="","",IF(COUNTIF(M$9:M604,M604)=1,MAX(O$8:O603)+1,""))</f>
        <v/>
      </c>
    </row>
    <row r="605" spans="1:15" x14ac:dyDescent="0.75">
      <c r="A605" s="24" t="str">
        <f>IF(N605="W",COUNTIF(N$9:N605,"W"),"")</f>
        <v/>
      </c>
      <c r="B605" s="25"/>
      <c r="C605" s="25"/>
      <c r="D605" s="26"/>
      <c r="E605" s="25"/>
      <c r="F605" s="27"/>
      <c r="G605" s="28"/>
      <c r="H605" s="28"/>
      <c r="I605" s="29" t="str">
        <f t="shared" si="27"/>
        <v/>
      </c>
      <c r="J605" s="30" t="str">
        <f t="shared" si="28"/>
        <v/>
      </c>
      <c r="K605" s="26"/>
      <c r="L605" s="24" t="str">
        <f>IF(N605="","",IF(N605="T","Título de capítulo",IF(OR(ISERROR(F605),ISERROR(G605),ISERROR(H605)),"Error en fórmula: pegá como valores",IF(AND(B605="",$C$6=""),"Falta sector",IF(M605="","Falta capítulo",IF(TRIM(E605)="","Falta unidad",IF(NOT((COUNTIF(Listas!$A$2:$A$40,E605)+COUNTIF(Listas!$D$2:$D$60,E605)&gt;0)),"Unidad no reconocida",IF(AND(F605&lt;&gt;"",NOT(ISNUMBER(F605))),"Cantidad no es número",IF(N(F605)&lt;=0,"Falta cantidad",IF(OR(AND(G605&lt;&gt;"",NOT(ISNUMBER(G605))),AND(H605&lt;&gt;"",NOT(ISNUMBER(H605)))),"Precio no es número",IF(N(G605)+N(H605)&lt;=0,"Falta precio","✓ OK")))))))))))</f>
        <v/>
      </c>
      <c r="M605" t="str">
        <f>IF(N605&lt;&gt;"W","",IF(TRIM(C605)&lt;&gt;"",TRIM(C605),IFERROR(LOOKUP(2,1/(N$9:N605="T"),D$9:D605),"")))</f>
        <v/>
      </c>
      <c r="N605" t="str">
        <f t="shared" si="29"/>
        <v/>
      </c>
      <c r="O605" t="str">
        <f>IF(M605="","",IF(COUNTIF(M$9:M605,M605)=1,MAX(O$8:O604)+1,""))</f>
        <v/>
      </c>
    </row>
    <row r="606" spans="1:15" x14ac:dyDescent="0.75">
      <c r="A606" s="24" t="str">
        <f>IF(N606="W",COUNTIF(N$9:N606,"W"),"")</f>
        <v/>
      </c>
      <c r="B606" s="25"/>
      <c r="C606" s="25"/>
      <c r="D606" s="26"/>
      <c r="E606" s="25"/>
      <c r="F606" s="27"/>
      <c r="G606" s="28"/>
      <c r="H606" s="28"/>
      <c r="I606" s="29" t="str">
        <f t="shared" si="27"/>
        <v/>
      </c>
      <c r="J606" s="30" t="str">
        <f t="shared" si="28"/>
        <v/>
      </c>
      <c r="K606" s="26"/>
      <c r="L606" s="24" t="str">
        <f>IF(N606="","",IF(N606="T","Título de capítulo",IF(OR(ISERROR(F606),ISERROR(G606),ISERROR(H606)),"Error en fórmula: pegá como valores",IF(AND(B606="",$C$6=""),"Falta sector",IF(M606="","Falta capítulo",IF(TRIM(E606)="","Falta unidad",IF(NOT((COUNTIF(Listas!$A$2:$A$40,E606)+COUNTIF(Listas!$D$2:$D$60,E606)&gt;0)),"Unidad no reconocida",IF(AND(F606&lt;&gt;"",NOT(ISNUMBER(F606))),"Cantidad no es número",IF(N(F606)&lt;=0,"Falta cantidad",IF(OR(AND(G606&lt;&gt;"",NOT(ISNUMBER(G606))),AND(H606&lt;&gt;"",NOT(ISNUMBER(H606)))),"Precio no es número",IF(N(G606)+N(H606)&lt;=0,"Falta precio","✓ OK")))))))))))</f>
        <v/>
      </c>
      <c r="M606" t="str">
        <f>IF(N606&lt;&gt;"W","",IF(TRIM(C606)&lt;&gt;"",TRIM(C606),IFERROR(LOOKUP(2,1/(N$9:N606="T"),D$9:D606),"")))</f>
        <v/>
      </c>
      <c r="N606" t="str">
        <f t="shared" si="29"/>
        <v/>
      </c>
      <c r="O606" t="str">
        <f>IF(M606="","",IF(COUNTIF(M$9:M606,M606)=1,MAX(O$8:O605)+1,""))</f>
        <v/>
      </c>
    </row>
    <row r="607" spans="1:15" x14ac:dyDescent="0.75">
      <c r="A607" s="24" t="str">
        <f>IF(N607="W",COUNTIF(N$9:N607,"W"),"")</f>
        <v/>
      </c>
      <c r="B607" s="25"/>
      <c r="C607" s="25"/>
      <c r="D607" s="26"/>
      <c r="E607" s="25"/>
      <c r="F607" s="27"/>
      <c r="G607" s="28"/>
      <c r="H607" s="28"/>
      <c r="I607" s="29" t="str">
        <f t="shared" si="27"/>
        <v/>
      </c>
      <c r="J607" s="30" t="str">
        <f t="shared" si="28"/>
        <v/>
      </c>
      <c r="K607" s="26"/>
      <c r="L607" s="24" t="str">
        <f>IF(N607="","",IF(N607="T","Título de capítulo",IF(OR(ISERROR(F607),ISERROR(G607),ISERROR(H607)),"Error en fórmula: pegá como valores",IF(AND(B607="",$C$6=""),"Falta sector",IF(M607="","Falta capítulo",IF(TRIM(E607)="","Falta unidad",IF(NOT((COUNTIF(Listas!$A$2:$A$40,E607)+COUNTIF(Listas!$D$2:$D$60,E607)&gt;0)),"Unidad no reconocida",IF(AND(F607&lt;&gt;"",NOT(ISNUMBER(F607))),"Cantidad no es número",IF(N(F607)&lt;=0,"Falta cantidad",IF(OR(AND(G607&lt;&gt;"",NOT(ISNUMBER(G607))),AND(H607&lt;&gt;"",NOT(ISNUMBER(H607)))),"Precio no es número",IF(N(G607)+N(H607)&lt;=0,"Falta precio","✓ OK")))))))))))</f>
        <v/>
      </c>
      <c r="M607" t="str">
        <f>IF(N607&lt;&gt;"W","",IF(TRIM(C607)&lt;&gt;"",TRIM(C607),IFERROR(LOOKUP(2,1/(N$9:N607="T"),D$9:D607),"")))</f>
        <v/>
      </c>
      <c r="N607" t="str">
        <f t="shared" si="29"/>
        <v/>
      </c>
      <c r="O607" t="str">
        <f>IF(M607="","",IF(COUNTIF(M$9:M607,M607)=1,MAX(O$8:O606)+1,""))</f>
        <v/>
      </c>
    </row>
    <row r="608" spans="1:15" x14ac:dyDescent="0.75">
      <c r="A608" s="24" t="str">
        <f>IF(N608="W",COUNTIF(N$9:N608,"W"),"")</f>
        <v/>
      </c>
      <c r="B608" s="25"/>
      <c r="C608" s="25"/>
      <c r="D608" s="26"/>
      <c r="E608" s="25"/>
      <c r="F608" s="27"/>
      <c r="G608" s="28"/>
      <c r="H608" s="28"/>
      <c r="I608" s="29" t="str">
        <f t="shared" si="27"/>
        <v/>
      </c>
      <c r="J608" s="30" t="str">
        <f t="shared" si="28"/>
        <v/>
      </c>
      <c r="K608" s="26"/>
      <c r="L608" s="24" t="str">
        <f>IF(N608="","",IF(N608="T","Título de capítulo",IF(OR(ISERROR(F608),ISERROR(G608),ISERROR(H608)),"Error en fórmula: pegá como valores",IF(AND(B608="",$C$6=""),"Falta sector",IF(M608="","Falta capítulo",IF(TRIM(E608)="","Falta unidad",IF(NOT((COUNTIF(Listas!$A$2:$A$40,E608)+COUNTIF(Listas!$D$2:$D$60,E608)&gt;0)),"Unidad no reconocida",IF(AND(F608&lt;&gt;"",NOT(ISNUMBER(F608))),"Cantidad no es número",IF(N(F608)&lt;=0,"Falta cantidad",IF(OR(AND(G608&lt;&gt;"",NOT(ISNUMBER(G608))),AND(H608&lt;&gt;"",NOT(ISNUMBER(H608)))),"Precio no es número",IF(N(G608)+N(H608)&lt;=0,"Falta precio","✓ OK")))))))))))</f>
        <v/>
      </c>
      <c r="M608" t="str">
        <f>IF(N608&lt;&gt;"W","",IF(TRIM(C608)&lt;&gt;"",TRIM(C608),IFERROR(LOOKUP(2,1/(N$9:N608="T"),D$9:D608),"")))</f>
        <v/>
      </c>
      <c r="N608" t="str">
        <f t="shared" si="29"/>
        <v/>
      </c>
      <c r="O608" t="str">
        <f>IF(M608="","",IF(COUNTIF(M$9:M608,M608)=1,MAX(O$8:O607)+1,""))</f>
        <v/>
      </c>
    </row>
    <row r="609" spans="1:15" x14ac:dyDescent="0.75">
      <c r="A609" s="24" t="str">
        <f>IF(N609="W",COUNTIF(N$9:N609,"W"),"")</f>
        <v/>
      </c>
      <c r="B609" s="25"/>
      <c r="C609" s="25"/>
      <c r="D609" s="26"/>
      <c r="E609" s="25"/>
      <c r="F609" s="27"/>
      <c r="G609" s="28"/>
      <c r="H609" s="28"/>
      <c r="I609" s="29" t="str">
        <f t="shared" si="27"/>
        <v/>
      </c>
      <c r="J609" s="30" t="str">
        <f t="shared" si="28"/>
        <v/>
      </c>
      <c r="K609" s="26"/>
      <c r="L609" s="24" t="str">
        <f>IF(N609="","",IF(N609="T","Título de capítulo",IF(OR(ISERROR(F609),ISERROR(G609),ISERROR(H609)),"Error en fórmula: pegá como valores",IF(AND(B609="",$C$6=""),"Falta sector",IF(M609="","Falta capítulo",IF(TRIM(E609)="","Falta unidad",IF(NOT((COUNTIF(Listas!$A$2:$A$40,E609)+COUNTIF(Listas!$D$2:$D$60,E609)&gt;0)),"Unidad no reconocida",IF(AND(F609&lt;&gt;"",NOT(ISNUMBER(F609))),"Cantidad no es número",IF(N(F609)&lt;=0,"Falta cantidad",IF(OR(AND(G609&lt;&gt;"",NOT(ISNUMBER(G609))),AND(H609&lt;&gt;"",NOT(ISNUMBER(H609)))),"Precio no es número",IF(N(G609)+N(H609)&lt;=0,"Falta precio","✓ OK")))))))))))</f>
        <v/>
      </c>
      <c r="M609" t="str">
        <f>IF(N609&lt;&gt;"W","",IF(TRIM(C609)&lt;&gt;"",TRIM(C609),IFERROR(LOOKUP(2,1/(N$9:N609="T"),D$9:D609),"")))</f>
        <v/>
      </c>
      <c r="N609" t="str">
        <f t="shared" si="29"/>
        <v/>
      </c>
      <c r="O609" t="str">
        <f>IF(M609="","",IF(COUNTIF(M$9:M609,M609)=1,MAX(O$8:O608)+1,""))</f>
        <v/>
      </c>
    </row>
    <row r="610" spans="1:15" x14ac:dyDescent="0.75">
      <c r="A610" s="24" t="str">
        <f>IF(N610="W",COUNTIF(N$9:N610,"W"),"")</f>
        <v/>
      </c>
      <c r="B610" s="25"/>
      <c r="C610" s="25"/>
      <c r="D610" s="26"/>
      <c r="E610" s="25"/>
      <c r="F610" s="27"/>
      <c r="G610" s="28"/>
      <c r="H610" s="28"/>
      <c r="I610" s="29" t="str">
        <f t="shared" si="27"/>
        <v/>
      </c>
      <c r="J610" s="30" t="str">
        <f t="shared" si="28"/>
        <v/>
      </c>
      <c r="K610" s="26"/>
      <c r="L610" s="24" t="str">
        <f>IF(N610="","",IF(N610="T","Título de capítulo",IF(OR(ISERROR(F610),ISERROR(G610),ISERROR(H610)),"Error en fórmula: pegá como valores",IF(AND(B610="",$C$6=""),"Falta sector",IF(M610="","Falta capítulo",IF(TRIM(E610)="","Falta unidad",IF(NOT((COUNTIF(Listas!$A$2:$A$40,E610)+COUNTIF(Listas!$D$2:$D$60,E610)&gt;0)),"Unidad no reconocida",IF(AND(F610&lt;&gt;"",NOT(ISNUMBER(F610))),"Cantidad no es número",IF(N(F610)&lt;=0,"Falta cantidad",IF(OR(AND(G610&lt;&gt;"",NOT(ISNUMBER(G610))),AND(H610&lt;&gt;"",NOT(ISNUMBER(H610)))),"Precio no es número",IF(N(G610)+N(H610)&lt;=0,"Falta precio","✓ OK")))))))))))</f>
        <v/>
      </c>
      <c r="M610" t="str">
        <f>IF(N610&lt;&gt;"W","",IF(TRIM(C610)&lt;&gt;"",TRIM(C610),IFERROR(LOOKUP(2,1/(N$9:N610="T"),D$9:D610),"")))</f>
        <v/>
      </c>
      <c r="N610" t="str">
        <f t="shared" si="29"/>
        <v/>
      </c>
      <c r="O610" t="str">
        <f>IF(M610="","",IF(COUNTIF(M$9:M610,M610)=1,MAX(O$8:O609)+1,""))</f>
        <v/>
      </c>
    </row>
    <row r="611" spans="1:15" x14ac:dyDescent="0.75">
      <c r="A611" s="24" t="str">
        <f>IF(N611="W",COUNTIF(N$9:N611,"W"),"")</f>
        <v/>
      </c>
      <c r="B611" s="25"/>
      <c r="C611" s="25"/>
      <c r="D611" s="26"/>
      <c r="E611" s="25"/>
      <c r="F611" s="27"/>
      <c r="G611" s="28"/>
      <c r="H611" s="28"/>
      <c r="I611" s="29" t="str">
        <f t="shared" si="27"/>
        <v/>
      </c>
      <c r="J611" s="30" t="str">
        <f t="shared" si="28"/>
        <v/>
      </c>
      <c r="K611" s="26"/>
      <c r="L611" s="24" t="str">
        <f>IF(N611="","",IF(N611="T","Título de capítulo",IF(OR(ISERROR(F611),ISERROR(G611),ISERROR(H611)),"Error en fórmula: pegá como valores",IF(AND(B611="",$C$6=""),"Falta sector",IF(M611="","Falta capítulo",IF(TRIM(E611)="","Falta unidad",IF(NOT((COUNTIF(Listas!$A$2:$A$40,E611)+COUNTIF(Listas!$D$2:$D$60,E611)&gt;0)),"Unidad no reconocida",IF(AND(F611&lt;&gt;"",NOT(ISNUMBER(F611))),"Cantidad no es número",IF(N(F611)&lt;=0,"Falta cantidad",IF(OR(AND(G611&lt;&gt;"",NOT(ISNUMBER(G611))),AND(H611&lt;&gt;"",NOT(ISNUMBER(H611)))),"Precio no es número",IF(N(G611)+N(H611)&lt;=0,"Falta precio","✓ OK")))))))))))</f>
        <v/>
      </c>
      <c r="M611" t="str">
        <f>IF(N611&lt;&gt;"W","",IF(TRIM(C611)&lt;&gt;"",TRIM(C611),IFERROR(LOOKUP(2,1/(N$9:N611="T"),D$9:D611),"")))</f>
        <v/>
      </c>
      <c r="N611" t="str">
        <f t="shared" si="29"/>
        <v/>
      </c>
      <c r="O611" t="str">
        <f>IF(M611="","",IF(COUNTIF(M$9:M611,M611)=1,MAX(O$8:O610)+1,""))</f>
        <v/>
      </c>
    </row>
    <row r="612" spans="1:15" x14ac:dyDescent="0.75">
      <c r="A612" s="24" t="str">
        <f>IF(N612="W",COUNTIF(N$9:N612,"W"),"")</f>
        <v/>
      </c>
      <c r="B612" s="25"/>
      <c r="C612" s="25"/>
      <c r="D612" s="26"/>
      <c r="E612" s="25"/>
      <c r="F612" s="27"/>
      <c r="G612" s="28"/>
      <c r="H612" s="28"/>
      <c r="I612" s="29" t="str">
        <f t="shared" si="27"/>
        <v/>
      </c>
      <c r="J612" s="30" t="str">
        <f t="shared" si="28"/>
        <v/>
      </c>
      <c r="K612" s="26"/>
      <c r="L612" s="24" t="str">
        <f>IF(N612="","",IF(N612="T","Título de capítulo",IF(OR(ISERROR(F612),ISERROR(G612),ISERROR(H612)),"Error en fórmula: pegá como valores",IF(AND(B612="",$C$6=""),"Falta sector",IF(M612="","Falta capítulo",IF(TRIM(E612)="","Falta unidad",IF(NOT((COUNTIF(Listas!$A$2:$A$40,E612)+COUNTIF(Listas!$D$2:$D$60,E612)&gt;0)),"Unidad no reconocida",IF(AND(F612&lt;&gt;"",NOT(ISNUMBER(F612))),"Cantidad no es número",IF(N(F612)&lt;=0,"Falta cantidad",IF(OR(AND(G612&lt;&gt;"",NOT(ISNUMBER(G612))),AND(H612&lt;&gt;"",NOT(ISNUMBER(H612)))),"Precio no es número",IF(N(G612)+N(H612)&lt;=0,"Falta precio","✓ OK")))))))))))</f>
        <v/>
      </c>
      <c r="M612" t="str">
        <f>IF(N612&lt;&gt;"W","",IF(TRIM(C612)&lt;&gt;"",TRIM(C612),IFERROR(LOOKUP(2,1/(N$9:N612="T"),D$9:D612),"")))</f>
        <v/>
      </c>
      <c r="N612" t="str">
        <f t="shared" si="29"/>
        <v/>
      </c>
      <c r="O612" t="str">
        <f>IF(M612="","",IF(COUNTIF(M$9:M612,M612)=1,MAX(O$8:O611)+1,""))</f>
        <v/>
      </c>
    </row>
    <row r="613" spans="1:15" x14ac:dyDescent="0.75">
      <c r="A613" s="24" t="str">
        <f>IF(N613="W",COUNTIF(N$9:N613,"W"),"")</f>
        <v/>
      </c>
      <c r="B613" s="25"/>
      <c r="C613" s="25"/>
      <c r="D613" s="26"/>
      <c r="E613" s="25"/>
      <c r="F613" s="27"/>
      <c r="G613" s="28"/>
      <c r="H613" s="28"/>
      <c r="I613" s="29" t="str">
        <f t="shared" si="27"/>
        <v/>
      </c>
      <c r="J613" s="30" t="str">
        <f t="shared" si="28"/>
        <v/>
      </c>
      <c r="K613" s="26"/>
      <c r="L613" s="24" t="str">
        <f>IF(N613="","",IF(N613="T","Título de capítulo",IF(OR(ISERROR(F613),ISERROR(G613),ISERROR(H613)),"Error en fórmula: pegá como valores",IF(AND(B613="",$C$6=""),"Falta sector",IF(M613="","Falta capítulo",IF(TRIM(E613)="","Falta unidad",IF(NOT((COUNTIF(Listas!$A$2:$A$40,E613)+COUNTIF(Listas!$D$2:$D$60,E613)&gt;0)),"Unidad no reconocida",IF(AND(F613&lt;&gt;"",NOT(ISNUMBER(F613))),"Cantidad no es número",IF(N(F613)&lt;=0,"Falta cantidad",IF(OR(AND(G613&lt;&gt;"",NOT(ISNUMBER(G613))),AND(H613&lt;&gt;"",NOT(ISNUMBER(H613)))),"Precio no es número",IF(N(G613)+N(H613)&lt;=0,"Falta precio","✓ OK")))))))))))</f>
        <v/>
      </c>
      <c r="M613" t="str">
        <f>IF(N613&lt;&gt;"W","",IF(TRIM(C613)&lt;&gt;"",TRIM(C613),IFERROR(LOOKUP(2,1/(N$9:N613="T"),D$9:D613),"")))</f>
        <v/>
      </c>
      <c r="N613" t="str">
        <f t="shared" si="29"/>
        <v/>
      </c>
      <c r="O613" t="str">
        <f>IF(M613="","",IF(COUNTIF(M$9:M613,M613)=1,MAX(O$8:O612)+1,""))</f>
        <v/>
      </c>
    </row>
    <row r="614" spans="1:15" x14ac:dyDescent="0.75">
      <c r="A614" s="24" t="str">
        <f>IF(N614="W",COUNTIF(N$9:N614,"W"),"")</f>
        <v/>
      </c>
      <c r="B614" s="25"/>
      <c r="C614" s="25"/>
      <c r="D614" s="26"/>
      <c r="E614" s="25"/>
      <c r="F614" s="27"/>
      <c r="G614" s="28"/>
      <c r="H614" s="28"/>
      <c r="I614" s="29" t="str">
        <f t="shared" si="27"/>
        <v/>
      </c>
      <c r="J614" s="30" t="str">
        <f t="shared" si="28"/>
        <v/>
      </c>
      <c r="K614" s="26"/>
      <c r="L614" s="24" t="str">
        <f>IF(N614="","",IF(N614="T","Título de capítulo",IF(OR(ISERROR(F614),ISERROR(G614),ISERROR(H614)),"Error en fórmula: pegá como valores",IF(AND(B614="",$C$6=""),"Falta sector",IF(M614="","Falta capítulo",IF(TRIM(E614)="","Falta unidad",IF(NOT((COUNTIF(Listas!$A$2:$A$40,E614)+COUNTIF(Listas!$D$2:$D$60,E614)&gt;0)),"Unidad no reconocida",IF(AND(F614&lt;&gt;"",NOT(ISNUMBER(F614))),"Cantidad no es número",IF(N(F614)&lt;=0,"Falta cantidad",IF(OR(AND(G614&lt;&gt;"",NOT(ISNUMBER(G614))),AND(H614&lt;&gt;"",NOT(ISNUMBER(H614)))),"Precio no es número",IF(N(G614)+N(H614)&lt;=0,"Falta precio","✓ OK")))))))))))</f>
        <v/>
      </c>
      <c r="M614" t="str">
        <f>IF(N614&lt;&gt;"W","",IF(TRIM(C614)&lt;&gt;"",TRIM(C614),IFERROR(LOOKUP(2,1/(N$9:N614="T"),D$9:D614),"")))</f>
        <v/>
      </c>
      <c r="N614" t="str">
        <f t="shared" si="29"/>
        <v/>
      </c>
      <c r="O614" t="str">
        <f>IF(M614="","",IF(COUNTIF(M$9:M614,M614)=1,MAX(O$8:O613)+1,""))</f>
        <v/>
      </c>
    </row>
    <row r="615" spans="1:15" x14ac:dyDescent="0.75">
      <c r="A615" s="24" t="str">
        <f>IF(N615="W",COUNTIF(N$9:N615,"W"),"")</f>
        <v/>
      </c>
      <c r="B615" s="25"/>
      <c r="C615" s="25"/>
      <c r="D615" s="26"/>
      <c r="E615" s="25"/>
      <c r="F615" s="27"/>
      <c r="G615" s="28"/>
      <c r="H615" s="28"/>
      <c r="I615" s="29" t="str">
        <f t="shared" si="27"/>
        <v/>
      </c>
      <c r="J615" s="30" t="str">
        <f t="shared" si="28"/>
        <v/>
      </c>
      <c r="K615" s="26"/>
      <c r="L615" s="24" t="str">
        <f>IF(N615="","",IF(N615="T","Título de capítulo",IF(OR(ISERROR(F615),ISERROR(G615),ISERROR(H615)),"Error en fórmula: pegá como valores",IF(AND(B615="",$C$6=""),"Falta sector",IF(M615="","Falta capítulo",IF(TRIM(E615)="","Falta unidad",IF(NOT((COUNTIF(Listas!$A$2:$A$40,E615)+COUNTIF(Listas!$D$2:$D$60,E615)&gt;0)),"Unidad no reconocida",IF(AND(F615&lt;&gt;"",NOT(ISNUMBER(F615))),"Cantidad no es número",IF(N(F615)&lt;=0,"Falta cantidad",IF(OR(AND(G615&lt;&gt;"",NOT(ISNUMBER(G615))),AND(H615&lt;&gt;"",NOT(ISNUMBER(H615)))),"Precio no es número",IF(N(G615)+N(H615)&lt;=0,"Falta precio","✓ OK")))))))))))</f>
        <v/>
      </c>
      <c r="M615" t="str">
        <f>IF(N615&lt;&gt;"W","",IF(TRIM(C615)&lt;&gt;"",TRIM(C615),IFERROR(LOOKUP(2,1/(N$9:N615="T"),D$9:D615),"")))</f>
        <v/>
      </c>
      <c r="N615" t="str">
        <f t="shared" si="29"/>
        <v/>
      </c>
      <c r="O615" t="str">
        <f>IF(M615="","",IF(COUNTIF(M$9:M615,M615)=1,MAX(O$8:O614)+1,""))</f>
        <v/>
      </c>
    </row>
    <row r="616" spans="1:15" x14ac:dyDescent="0.75">
      <c r="A616" s="24" t="str">
        <f>IF(N616="W",COUNTIF(N$9:N616,"W"),"")</f>
        <v/>
      </c>
      <c r="B616" s="25"/>
      <c r="C616" s="25"/>
      <c r="D616" s="26"/>
      <c r="E616" s="25"/>
      <c r="F616" s="27"/>
      <c r="G616" s="28"/>
      <c r="H616" s="28"/>
      <c r="I616" s="29" t="str">
        <f t="shared" si="27"/>
        <v/>
      </c>
      <c r="J616" s="30" t="str">
        <f t="shared" si="28"/>
        <v/>
      </c>
      <c r="K616" s="26"/>
      <c r="L616" s="24" t="str">
        <f>IF(N616="","",IF(N616="T","Título de capítulo",IF(OR(ISERROR(F616),ISERROR(G616),ISERROR(H616)),"Error en fórmula: pegá como valores",IF(AND(B616="",$C$6=""),"Falta sector",IF(M616="","Falta capítulo",IF(TRIM(E616)="","Falta unidad",IF(NOT((COUNTIF(Listas!$A$2:$A$40,E616)+COUNTIF(Listas!$D$2:$D$60,E616)&gt;0)),"Unidad no reconocida",IF(AND(F616&lt;&gt;"",NOT(ISNUMBER(F616))),"Cantidad no es número",IF(N(F616)&lt;=0,"Falta cantidad",IF(OR(AND(G616&lt;&gt;"",NOT(ISNUMBER(G616))),AND(H616&lt;&gt;"",NOT(ISNUMBER(H616)))),"Precio no es número",IF(N(G616)+N(H616)&lt;=0,"Falta precio","✓ OK")))))))))))</f>
        <v/>
      </c>
      <c r="M616" t="str">
        <f>IF(N616&lt;&gt;"W","",IF(TRIM(C616)&lt;&gt;"",TRIM(C616),IFERROR(LOOKUP(2,1/(N$9:N616="T"),D$9:D616),"")))</f>
        <v/>
      </c>
      <c r="N616" t="str">
        <f t="shared" si="29"/>
        <v/>
      </c>
      <c r="O616" t="str">
        <f>IF(M616="","",IF(COUNTIF(M$9:M616,M616)=1,MAX(O$8:O615)+1,""))</f>
        <v/>
      </c>
    </row>
    <row r="617" spans="1:15" x14ac:dyDescent="0.75">
      <c r="A617" s="24" t="str">
        <f>IF(N617="W",COUNTIF(N$9:N617,"W"),"")</f>
        <v/>
      </c>
      <c r="B617" s="25"/>
      <c r="C617" s="25"/>
      <c r="D617" s="26"/>
      <c r="E617" s="25"/>
      <c r="F617" s="27"/>
      <c r="G617" s="28"/>
      <c r="H617" s="28"/>
      <c r="I617" s="29" t="str">
        <f t="shared" si="27"/>
        <v/>
      </c>
      <c r="J617" s="30" t="str">
        <f t="shared" si="28"/>
        <v/>
      </c>
      <c r="K617" s="26"/>
      <c r="L617" s="24" t="str">
        <f>IF(N617="","",IF(N617="T","Título de capítulo",IF(OR(ISERROR(F617),ISERROR(G617),ISERROR(H617)),"Error en fórmula: pegá como valores",IF(AND(B617="",$C$6=""),"Falta sector",IF(M617="","Falta capítulo",IF(TRIM(E617)="","Falta unidad",IF(NOT((COUNTIF(Listas!$A$2:$A$40,E617)+COUNTIF(Listas!$D$2:$D$60,E617)&gt;0)),"Unidad no reconocida",IF(AND(F617&lt;&gt;"",NOT(ISNUMBER(F617))),"Cantidad no es número",IF(N(F617)&lt;=0,"Falta cantidad",IF(OR(AND(G617&lt;&gt;"",NOT(ISNUMBER(G617))),AND(H617&lt;&gt;"",NOT(ISNUMBER(H617)))),"Precio no es número",IF(N(G617)+N(H617)&lt;=0,"Falta precio","✓ OK")))))))))))</f>
        <v/>
      </c>
      <c r="M617" t="str">
        <f>IF(N617&lt;&gt;"W","",IF(TRIM(C617)&lt;&gt;"",TRIM(C617),IFERROR(LOOKUP(2,1/(N$9:N617="T"),D$9:D617),"")))</f>
        <v/>
      </c>
      <c r="N617" t="str">
        <f t="shared" si="29"/>
        <v/>
      </c>
      <c r="O617" t="str">
        <f>IF(M617="","",IF(COUNTIF(M$9:M617,M617)=1,MAX(O$8:O616)+1,""))</f>
        <v/>
      </c>
    </row>
    <row r="618" spans="1:15" x14ac:dyDescent="0.75">
      <c r="A618" s="24" t="str">
        <f>IF(N618="W",COUNTIF(N$9:N618,"W"),"")</f>
        <v/>
      </c>
      <c r="B618" s="25"/>
      <c r="C618" s="25"/>
      <c r="D618" s="26"/>
      <c r="E618" s="25"/>
      <c r="F618" s="27"/>
      <c r="G618" s="28"/>
      <c r="H618" s="28"/>
      <c r="I618" s="29" t="str">
        <f t="shared" si="27"/>
        <v/>
      </c>
      <c r="J618" s="30" t="str">
        <f t="shared" si="28"/>
        <v/>
      </c>
      <c r="K618" s="26"/>
      <c r="L618" s="24" t="str">
        <f>IF(N618="","",IF(N618="T","Título de capítulo",IF(OR(ISERROR(F618),ISERROR(G618),ISERROR(H618)),"Error en fórmula: pegá como valores",IF(AND(B618="",$C$6=""),"Falta sector",IF(M618="","Falta capítulo",IF(TRIM(E618)="","Falta unidad",IF(NOT((COUNTIF(Listas!$A$2:$A$40,E618)+COUNTIF(Listas!$D$2:$D$60,E618)&gt;0)),"Unidad no reconocida",IF(AND(F618&lt;&gt;"",NOT(ISNUMBER(F618))),"Cantidad no es número",IF(N(F618)&lt;=0,"Falta cantidad",IF(OR(AND(G618&lt;&gt;"",NOT(ISNUMBER(G618))),AND(H618&lt;&gt;"",NOT(ISNUMBER(H618)))),"Precio no es número",IF(N(G618)+N(H618)&lt;=0,"Falta precio","✓ OK")))))))))))</f>
        <v/>
      </c>
      <c r="M618" t="str">
        <f>IF(N618&lt;&gt;"W","",IF(TRIM(C618)&lt;&gt;"",TRIM(C618),IFERROR(LOOKUP(2,1/(N$9:N618="T"),D$9:D618),"")))</f>
        <v/>
      </c>
      <c r="N618" t="str">
        <f t="shared" si="29"/>
        <v/>
      </c>
      <c r="O618" t="str">
        <f>IF(M618="","",IF(COUNTIF(M$9:M618,M618)=1,MAX(O$8:O617)+1,""))</f>
        <v/>
      </c>
    </row>
    <row r="619" spans="1:15" x14ac:dyDescent="0.75">
      <c r="A619" s="24" t="str">
        <f>IF(N619="W",COUNTIF(N$9:N619,"W"),"")</f>
        <v/>
      </c>
      <c r="B619" s="25"/>
      <c r="C619" s="25"/>
      <c r="D619" s="26"/>
      <c r="E619" s="25"/>
      <c r="F619" s="27"/>
      <c r="G619" s="28"/>
      <c r="H619" s="28"/>
      <c r="I619" s="29" t="str">
        <f t="shared" si="27"/>
        <v/>
      </c>
      <c r="J619" s="30" t="str">
        <f t="shared" si="28"/>
        <v/>
      </c>
      <c r="K619" s="26"/>
      <c r="L619" s="24" t="str">
        <f>IF(N619="","",IF(N619="T","Título de capítulo",IF(OR(ISERROR(F619),ISERROR(G619),ISERROR(H619)),"Error en fórmula: pegá como valores",IF(AND(B619="",$C$6=""),"Falta sector",IF(M619="","Falta capítulo",IF(TRIM(E619)="","Falta unidad",IF(NOT((COUNTIF(Listas!$A$2:$A$40,E619)+COUNTIF(Listas!$D$2:$D$60,E619)&gt;0)),"Unidad no reconocida",IF(AND(F619&lt;&gt;"",NOT(ISNUMBER(F619))),"Cantidad no es número",IF(N(F619)&lt;=0,"Falta cantidad",IF(OR(AND(G619&lt;&gt;"",NOT(ISNUMBER(G619))),AND(H619&lt;&gt;"",NOT(ISNUMBER(H619)))),"Precio no es número",IF(N(G619)+N(H619)&lt;=0,"Falta precio","✓ OK")))))))))))</f>
        <v/>
      </c>
      <c r="M619" t="str">
        <f>IF(N619&lt;&gt;"W","",IF(TRIM(C619)&lt;&gt;"",TRIM(C619),IFERROR(LOOKUP(2,1/(N$9:N619="T"),D$9:D619),"")))</f>
        <v/>
      </c>
      <c r="N619" t="str">
        <f t="shared" si="29"/>
        <v/>
      </c>
      <c r="O619" t="str">
        <f>IF(M619="","",IF(COUNTIF(M$9:M619,M619)=1,MAX(O$8:O618)+1,""))</f>
        <v/>
      </c>
    </row>
    <row r="620" spans="1:15" x14ac:dyDescent="0.75">
      <c r="A620" s="24" t="str">
        <f>IF(N620="W",COUNTIF(N$9:N620,"W"),"")</f>
        <v/>
      </c>
      <c r="B620" s="25"/>
      <c r="C620" s="25"/>
      <c r="D620" s="26"/>
      <c r="E620" s="25"/>
      <c r="F620" s="27"/>
      <c r="G620" s="28"/>
      <c r="H620" s="28"/>
      <c r="I620" s="29" t="str">
        <f t="shared" si="27"/>
        <v/>
      </c>
      <c r="J620" s="30" t="str">
        <f t="shared" si="28"/>
        <v/>
      </c>
      <c r="K620" s="26"/>
      <c r="L620" s="24" t="str">
        <f>IF(N620="","",IF(N620="T","Título de capítulo",IF(OR(ISERROR(F620),ISERROR(G620),ISERROR(H620)),"Error en fórmula: pegá como valores",IF(AND(B620="",$C$6=""),"Falta sector",IF(M620="","Falta capítulo",IF(TRIM(E620)="","Falta unidad",IF(NOT((COUNTIF(Listas!$A$2:$A$40,E620)+COUNTIF(Listas!$D$2:$D$60,E620)&gt;0)),"Unidad no reconocida",IF(AND(F620&lt;&gt;"",NOT(ISNUMBER(F620))),"Cantidad no es número",IF(N(F620)&lt;=0,"Falta cantidad",IF(OR(AND(G620&lt;&gt;"",NOT(ISNUMBER(G620))),AND(H620&lt;&gt;"",NOT(ISNUMBER(H620)))),"Precio no es número",IF(N(G620)+N(H620)&lt;=0,"Falta precio","✓ OK")))))))))))</f>
        <v/>
      </c>
      <c r="M620" t="str">
        <f>IF(N620&lt;&gt;"W","",IF(TRIM(C620)&lt;&gt;"",TRIM(C620),IFERROR(LOOKUP(2,1/(N$9:N620="T"),D$9:D620),"")))</f>
        <v/>
      </c>
      <c r="N620" t="str">
        <f t="shared" si="29"/>
        <v/>
      </c>
      <c r="O620" t="str">
        <f>IF(M620="","",IF(COUNTIF(M$9:M620,M620)=1,MAX(O$8:O619)+1,""))</f>
        <v/>
      </c>
    </row>
    <row r="621" spans="1:15" x14ac:dyDescent="0.75">
      <c r="A621" s="24" t="str">
        <f>IF(N621="W",COUNTIF(N$9:N621,"W"),"")</f>
        <v/>
      </c>
      <c r="B621" s="25"/>
      <c r="C621" s="25"/>
      <c r="D621" s="26"/>
      <c r="E621" s="25"/>
      <c r="F621" s="27"/>
      <c r="G621" s="28"/>
      <c r="H621" s="28"/>
      <c r="I621" s="29" t="str">
        <f t="shared" si="27"/>
        <v/>
      </c>
      <c r="J621" s="30" t="str">
        <f t="shared" si="28"/>
        <v/>
      </c>
      <c r="K621" s="26"/>
      <c r="L621" s="24" t="str">
        <f>IF(N621="","",IF(N621="T","Título de capítulo",IF(OR(ISERROR(F621),ISERROR(G621),ISERROR(H621)),"Error en fórmula: pegá como valores",IF(AND(B621="",$C$6=""),"Falta sector",IF(M621="","Falta capítulo",IF(TRIM(E621)="","Falta unidad",IF(NOT((COUNTIF(Listas!$A$2:$A$40,E621)+COUNTIF(Listas!$D$2:$D$60,E621)&gt;0)),"Unidad no reconocida",IF(AND(F621&lt;&gt;"",NOT(ISNUMBER(F621))),"Cantidad no es número",IF(N(F621)&lt;=0,"Falta cantidad",IF(OR(AND(G621&lt;&gt;"",NOT(ISNUMBER(G621))),AND(H621&lt;&gt;"",NOT(ISNUMBER(H621)))),"Precio no es número",IF(N(G621)+N(H621)&lt;=0,"Falta precio","✓ OK")))))))))))</f>
        <v/>
      </c>
      <c r="M621" t="str">
        <f>IF(N621&lt;&gt;"W","",IF(TRIM(C621)&lt;&gt;"",TRIM(C621),IFERROR(LOOKUP(2,1/(N$9:N621="T"),D$9:D621),"")))</f>
        <v/>
      </c>
      <c r="N621" t="str">
        <f t="shared" si="29"/>
        <v/>
      </c>
      <c r="O621" t="str">
        <f>IF(M621="","",IF(COUNTIF(M$9:M621,M621)=1,MAX(O$8:O620)+1,""))</f>
        <v/>
      </c>
    </row>
    <row r="622" spans="1:15" x14ac:dyDescent="0.75">
      <c r="A622" s="24" t="str">
        <f>IF(N622="W",COUNTIF(N$9:N622,"W"),"")</f>
        <v/>
      </c>
      <c r="B622" s="25"/>
      <c r="C622" s="25"/>
      <c r="D622" s="26"/>
      <c r="E622" s="25"/>
      <c r="F622" s="27"/>
      <c r="G622" s="28"/>
      <c r="H622" s="28"/>
      <c r="I622" s="29" t="str">
        <f t="shared" si="27"/>
        <v/>
      </c>
      <c r="J622" s="30" t="str">
        <f t="shared" si="28"/>
        <v/>
      </c>
      <c r="K622" s="26"/>
      <c r="L622" s="24" t="str">
        <f>IF(N622="","",IF(N622="T","Título de capítulo",IF(OR(ISERROR(F622),ISERROR(G622),ISERROR(H622)),"Error en fórmula: pegá como valores",IF(AND(B622="",$C$6=""),"Falta sector",IF(M622="","Falta capítulo",IF(TRIM(E622)="","Falta unidad",IF(NOT((COUNTIF(Listas!$A$2:$A$40,E622)+COUNTIF(Listas!$D$2:$D$60,E622)&gt;0)),"Unidad no reconocida",IF(AND(F622&lt;&gt;"",NOT(ISNUMBER(F622))),"Cantidad no es número",IF(N(F622)&lt;=0,"Falta cantidad",IF(OR(AND(G622&lt;&gt;"",NOT(ISNUMBER(G622))),AND(H622&lt;&gt;"",NOT(ISNUMBER(H622)))),"Precio no es número",IF(N(G622)+N(H622)&lt;=0,"Falta precio","✓ OK")))))))))))</f>
        <v/>
      </c>
      <c r="M622" t="str">
        <f>IF(N622&lt;&gt;"W","",IF(TRIM(C622)&lt;&gt;"",TRIM(C622),IFERROR(LOOKUP(2,1/(N$9:N622="T"),D$9:D622),"")))</f>
        <v/>
      </c>
      <c r="N622" t="str">
        <f t="shared" si="29"/>
        <v/>
      </c>
      <c r="O622" t="str">
        <f>IF(M622="","",IF(COUNTIF(M$9:M622,M622)=1,MAX(O$8:O621)+1,""))</f>
        <v/>
      </c>
    </row>
    <row r="623" spans="1:15" x14ac:dyDescent="0.75">
      <c r="A623" s="24" t="str">
        <f>IF(N623="W",COUNTIF(N$9:N623,"W"),"")</f>
        <v/>
      </c>
      <c r="B623" s="25"/>
      <c r="C623" s="25"/>
      <c r="D623" s="26"/>
      <c r="E623" s="25"/>
      <c r="F623" s="27"/>
      <c r="G623" s="28"/>
      <c r="H623" s="28"/>
      <c r="I623" s="29" t="str">
        <f t="shared" si="27"/>
        <v/>
      </c>
      <c r="J623" s="30" t="str">
        <f t="shared" si="28"/>
        <v/>
      </c>
      <c r="K623" s="26"/>
      <c r="L623" s="24" t="str">
        <f>IF(N623="","",IF(N623="T","Título de capítulo",IF(OR(ISERROR(F623),ISERROR(G623),ISERROR(H623)),"Error en fórmula: pegá como valores",IF(AND(B623="",$C$6=""),"Falta sector",IF(M623="","Falta capítulo",IF(TRIM(E623)="","Falta unidad",IF(NOT((COUNTIF(Listas!$A$2:$A$40,E623)+COUNTIF(Listas!$D$2:$D$60,E623)&gt;0)),"Unidad no reconocida",IF(AND(F623&lt;&gt;"",NOT(ISNUMBER(F623))),"Cantidad no es número",IF(N(F623)&lt;=0,"Falta cantidad",IF(OR(AND(G623&lt;&gt;"",NOT(ISNUMBER(G623))),AND(H623&lt;&gt;"",NOT(ISNUMBER(H623)))),"Precio no es número",IF(N(G623)+N(H623)&lt;=0,"Falta precio","✓ OK")))))))))))</f>
        <v/>
      </c>
      <c r="M623" t="str">
        <f>IF(N623&lt;&gt;"W","",IF(TRIM(C623)&lt;&gt;"",TRIM(C623),IFERROR(LOOKUP(2,1/(N$9:N623="T"),D$9:D623),"")))</f>
        <v/>
      </c>
      <c r="N623" t="str">
        <f t="shared" si="29"/>
        <v/>
      </c>
      <c r="O623" t="str">
        <f>IF(M623="","",IF(COUNTIF(M$9:M623,M623)=1,MAX(O$8:O622)+1,""))</f>
        <v/>
      </c>
    </row>
    <row r="624" spans="1:15" x14ac:dyDescent="0.75">
      <c r="A624" s="24" t="str">
        <f>IF(N624="W",COUNTIF(N$9:N624,"W"),"")</f>
        <v/>
      </c>
      <c r="B624" s="25"/>
      <c r="C624" s="25"/>
      <c r="D624" s="26"/>
      <c r="E624" s="25"/>
      <c r="F624" s="27"/>
      <c r="G624" s="28"/>
      <c r="H624" s="28"/>
      <c r="I624" s="29" t="str">
        <f t="shared" si="27"/>
        <v/>
      </c>
      <c r="J624" s="30" t="str">
        <f t="shared" si="28"/>
        <v/>
      </c>
      <c r="K624" s="26"/>
      <c r="L624" s="24" t="str">
        <f>IF(N624="","",IF(N624="T","Título de capítulo",IF(OR(ISERROR(F624),ISERROR(G624),ISERROR(H624)),"Error en fórmula: pegá como valores",IF(AND(B624="",$C$6=""),"Falta sector",IF(M624="","Falta capítulo",IF(TRIM(E624)="","Falta unidad",IF(NOT((COUNTIF(Listas!$A$2:$A$40,E624)+COUNTIF(Listas!$D$2:$D$60,E624)&gt;0)),"Unidad no reconocida",IF(AND(F624&lt;&gt;"",NOT(ISNUMBER(F624))),"Cantidad no es número",IF(N(F624)&lt;=0,"Falta cantidad",IF(OR(AND(G624&lt;&gt;"",NOT(ISNUMBER(G624))),AND(H624&lt;&gt;"",NOT(ISNUMBER(H624)))),"Precio no es número",IF(N(G624)+N(H624)&lt;=0,"Falta precio","✓ OK")))))))))))</f>
        <v/>
      </c>
      <c r="M624" t="str">
        <f>IF(N624&lt;&gt;"W","",IF(TRIM(C624)&lt;&gt;"",TRIM(C624),IFERROR(LOOKUP(2,1/(N$9:N624="T"),D$9:D624),"")))</f>
        <v/>
      </c>
      <c r="N624" t="str">
        <f t="shared" si="29"/>
        <v/>
      </c>
      <c r="O624" t="str">
        <f>IF(M624="","",IF(COUNTIF(M$9:M624,M624)=1,MAX(O$8:O623)+1,""))</f>
        <v/>
      </c>
    </row>
    <row r="625" spans="1:15" x14ac:dyDescent="0.75">
      <c r="A625" s="24" t="str">
        <f>IF(N625="W",COUNTIF(N$9:N625,"W"),"")</f>
        <v/>
      </c>
      <c r="B625" s="25"/>
      <c r="C625" s="25"/>
      <c r="D625" s="26"/>
      <c r="E625" s="25"/>
      <c r="F625" s="27"/>
      <c r="G625" s="28"/>
      <c r="H625" s="28"/>
      <c r="I625" s="29" t="str">
        <f t="shared" si="27"/>
        <v/>
      </c>
      <c r="J625" s="30" t="str">
        <f t="shared" si="28"/>
        <v/>
      </c>
      <c r="K625" s="26"/>
      <c r="L625" s="24" t="str">
        <f>IF(N625="","",IF(N625="T","Título de capítulo",IF(OR(ISERROR(F625),ISERROR(G625),ISERROR(H625)),"Error en fórmula: pegá como valores",IF(AND(B625="",$C$6=""),"Falta sector",IF(M625="","Falta capítulo",IF(TRIM(E625)="","Falta unidad",IF(NOT((COUNTIF(Listas!$A$2:$A$40,E625)+COUNTIF(Listas!$D$2:$D$60,E625)&gt;0)),"Unidad no reconocida",IF(AND(F625&lt;&gt;"",NOT(ISNUMBER(F625))),"Cantidad no es número",IF(N(F625)&lt;=0,"Falta cantidad",IF(OR(AND(G625&lt;&gt;"",NOT(ISNUMBER(G625))),AND(H625&lt;&gt;"",NOT(ISNUMBER(H625)))),"Precio no es número",IF(N(G625)+N(H625)&lt;=0,"Falta precio","✓ OK")))))))))))</f>
        <v/>
      </c>
      <c r="M625" t="str">
        <f>IF(N625&lt;&gt;"W","",IF(TRIM(C625)&lt;&gt;"",TRIM(C625),IFERROR(LOOKUP(2,1/(N$9:N625="T"),D$9:D625),"")))</f>
        <v/>
      </c>
      <c r="N625" t="str">
        <f t="shared" si="29"/>
        <v/>
      </c>
      <c r="O625" t="str">
        <f>IF(M625="","",IF(COUNTIF(M$9:M625,M625)=1,MAX(O$8:O624)+1,""))</f>
        <v/>
      </c>
    </row>
    <row r="626" spans="1:15" x14ac:dyDescent="0.75">
      <c r="A626" s="24" t="str">
        <f>IF(N626="W",COUNTIF(N$9:N626,"W"),"")</f>
        <v/>
      </c>
      <c r="B626" s="25"/>
      <c r="C626" s="25"/>
      <c r="D626" s="26"/>
      <c r="E626" s="25"/>
      <c r="F626" s="27"/>
      <c r="G626" s="28"/>
      <c r="H626" s="28"/>
      <c r="I626" s="29" t="str">
        <f t="shared" si="27"/>
        <v/>
      </c>
      <c r="J626" s="30" t="str">
        <f t="shared" si="28"/>
        <v/>
      </c>
      <c r="K626" s="26"/>
      <c r="L626" s="24" t="str">
        <f>IF(N626="","",IF(N626="T","Título de capítulo",IF(OR(ISERROR(F626),ISERROR(G626),ISERROR(H626)),"Error en fórmula: pegá como valores",IF(AND(B626="",$C$6=""),"Falta sector",IF(M626="","Falta capítulo",IF(TRIM(E626)="","Falta unidad",IF(NOT((COUNTIF(Listas!$A$2:$A$40,E626)+COUNTIF(Listas!$D$2:$D$60,E626)&gt;0)),"Unidad no reconocida",IF(AND(F626&lt;&gt;"",NOT(ISNUMBER(F626))),"Cantidad no es número",IF(N(F626)&lt;=0,"Falta cantidad",IF(OR(AND(G626&lt;&gt;"",NOT(ISNUMBER(G626))),AND(H626&lt;&gt;"",NOT(ISNUMBER(H626)))),"Precio no es número",IF(N(G626)+N(H626)&lt;=0,"Falta precio","✓ OK")))))))))))</f>
        <v/>
      </c>
      <c r="M626" t="str">
        <f>IF(N626&lt;&gt;"W","",IF(TRIM(C626)&lt;&gt;"",TRIM(C626),IFERROR(LOOKUP(2,1/(N$9:N626="T"),D$9:D626),"")))</f>
        <v/>
      </c>
      <c r="N626" t="str">
        <f t="shared" si="29"/>
        <v/>
      </c>
      <c r="O626" t="str">
        <f>IF(M626="","",IF(COUNTIF(M$9:M626,M626)=1,MAX(O$8:O625)+1,""))</f>
        <v/>
      </c>
    </row>
    <row r="627" spans="1:15" x14ac:dyDescent="0.75">
      <c r="A627" s="24" t="str">
        <f>IF(N627="W",COUNTIF(N$9:N627,"W"),"")</f>
        <v/>
      </c>
      <c r="B627" s="25"/>
      <c r="C627" s="25"/>
      <c r="D627" s="26"/>
      <c r="E627" s="25"/>
      <c r="F627" s="27"/>
      <c r="G627" s="28"/>
      <c r="H627" s="28"/>
      <c r="I627" s="29" t="str">
        <f t="shared" si="27"/>
        <v/>
      </c>
      <c r="J627" s="30" t="str">
        <f t="shared" si="28"/>
        <v/>
      </c>
      <c r="K627" s="26"/>
      <c r="L627" s="24" t="str">
        <f>IF(N627="","",IF(N627="T","Título de capítulo",IF(OR(ISERROR(F627),ISERROR(G627),ISERROR(H627)),"Error en fórmula: pegá como valores",IF(AND(B627="",$C$6=""),"Falta sector",IF(M627="","Falta capítulo",IF(TRIM(E627)="","Falta unidad",IF(NOT((COUNTIF(Listas!$A$2:$A$40,E627)+COUNTIF(Listas!$D$2:$D$60,E627)&gt;0)),"Unidad no reconocida",IF(AND(F627&lt;&gt;"",NOT(ISNUMBER(F627))),"Cantidad no es número",IF(N(F627)&lt;=0,"Falta cantidad",IF(OR(AND(G627&lt;&gt;"",NOT(ISNUMBER(G627))),AND(H627&lt;&gt;"",NOT(ISNUMBER(H627)))),"Precio no es número",IF(N(G627)+N(H627)&lt;=0,"Falta precio","✓ OK")))))))))))</f>
        <v/>
      </c>
      <c r="M627" t="str">
        <f>IF(N627&lt;&gt;"W","",IF(TRIM(C627)&lt;&gt;"",TRIM(C627),IFERROR(LOOKUP(2,1/(N$9:N627="T"),D$9:D627),"")))</f>
        <v/>
      </c>
      <c r="N627" t="str">
        <f t="shared" si="29"/>
        <v/>
      </c>
      <c r="O627" t="str">
        <f>IF(M627="","",IF(COUNTIF(M$9:M627,M627)=1,MAX(O$8:O626)+1,""))</f>
        <v/>
      </c>
    </row>
    <row r="628" spans="1:15" x14ac:dyDescent="0.75">
      <c r="A628" s="24" t="str">
        <f>IF(N628="W",COUNTIF(N$9:N628,"W"),"")</f>
        <v/>
      </c>
      <c r="B628" s="25"/>
      <c r="C628" s="25"/>
      <c r="D628" s="26"/>
      <c r="E628" s="25"/>
      <c r="F628" s="27"/>
      <c r="G628" s="28"/>
      <c r="H628" s="28"/>
      <c r="I628" s="29" t="str">
        <f t="shared" si="27"/>
        <v/>
      </c>
      <c r="J628" s="30" t="str">
        <f t="shared" si="28"/>
        <v/>
      </c>
      <c r="K628" s="26"/>
      <c r="L628" s="24" t="str">
        <f>IF(N628="","",IF(N628="T","Título de capítulo",IF(OR(ISERROR(F628),ISERROR(G628),ISERROR(H628)),"Error en fórmula: pegá como valores",IF(AND(B628="",$C$6=""),"Falta sector",IF(M628="","Falta capítulo",IF(TRIM(E628)="","Falta unidad",IF(NOT((COUNTIF(Listas!$A$2:$A$40,E628)+COUNTIF(Listas!$D$2:$D$60,E628)&gt;0)),"Unidad no reconocida",IF(AND(F628&lt;&gt;"",NOT(ISNUMBER(F628))),"Cantidad no es número",IF(N(F628)&lt;=0,"Falta cantidad",IF(OR(AND(G628&lt;&gt;"",NOT(ISNUMBER(G628))),AND(H628&lt;&gt;"",NOT(ISNUMBER(H628)))),"Precio no es número",IF(N(G628)+N(H628)&lt;=0,"Falta precio","✓ OK")))))))))))</f>
        <v/>
      </c>
      <c r="M628" t="str">
        <f>IF(N628&lt;&gt;"W","",IF(TRIM(C628)&lt;&gt;"",TRIM(C628),IFERROR(LOOKUP(2,1/(N$9:N628="T"),D$9:D628),"")))</f>
        <v/>
      </c>
      <c r="N628" t="str">
        <f t="shared" si="29"/>
        <v/>
      </c>
      <c r="O628" t="str">
        <f>IF(M628="","",IF(COUNTIF(M$9:M628,M628)=1,MAX(O$8:O627)+1,""))</f>
        <v/>
      </c>
    </row>
    <row r="629" spans="1:15" x14ac:dyDescent="0.75">
      <c r="A629" s="24" t="str">
        <f>IF(N629="W",COUNTIF(N$9:N629,"W"),"")</f>
        <v/>
      </c>
      <c r="B629" s="25"/>
      <c r="C629" s="25"/>
      <c r="D629" s="26"/>
      <c r="E629" s="25"/>
      <c r="F629" s="27"/>
      <c r="G629" s="28"/>
      <c r="H629" s="28"/>
      <c r="I629" s="29" t="str">
        <f t="shared" si="27"/>
        <v/>
      </c>
      <c r="J629" s="30" t="str">
        <f t="shared" si="28"/>
        <v/>
      </c>
      <c r="K629" s="26"/>
      <c r="L629" s="24" t="str">
        <f>IF(N629="","",IF(N629="T","Título de capítulo",IF(OR(ISERROR(F629),ISERROR(G629),ISERROR(H629)),"Error en fórmula: pegá como valores",IF(AND(B629="",$C$6=""),"Falta sector",IF(M629="","Falta capítulo",IF(TRIM(E629)="","Falta unidad",IF(NOT((COUNTIF(Listas!$A$2:$A$40,E629)+COUNTIF(Listas!$D$2:$D$60,E629)&gt;0)),"Unidad no reconocida",IF(AND(F629&lt;&gt;"",NOT(ISNUMBER(F629))),"Cantidad no es número",IF(N(F629)&lt;=0,"Falta cantidad",IF(OR(AND(G629&lt;&gt;"",NOT(ISNUMBER(G629))),AND(H629&lt;&gt;"",NOT(ISNUMBER(H629)))),"Precio no es número",IF(N(G629)+N(H629)&lt;=0,"Falta precio","✓ OK")))))))))))</f>
        <v/>
      </c>
      <c r="M629" t="str">
        <f>IF(N629&lt;&gt;"W","",IF(TRIM(C629)&lt;&gt;"",TRIM(C629),IFERROR(LOOKUP(2,1/(N$9:N629="T"),D$9:D629),"")))</f>
        <v/>
      </c>
      <c r="N629" t="str">
        <f t="shared" si="29"/>
        <v/>
      </c>
      <c r="O629" t="str">
        <f>IF(M629="","",IF(COUNTIF(M$9:M629,M629)=1,MAX(O$8:O628)+1,""))</f>
        <v/>
      </c>
    </row>
    <row r="630" spans="1:15" x14ac:dyDescent="0.75">
      <c r="A630" s="24" t="str">
        <f>IF(N630="W",COUNTIF(N$9:N630,"W"),"")</f>
        <v/>
      </c>
      <c r="B630" s="25"/>
      <c r="C630" s="25"/>
      <c r="D630" s="26"/>
      <c r="E630" s="25"/>
      <c r="F630" s="27"/>
      <c r="G630" s="28"/>
      <c r="H630" s="28"/>
      <c r="I630" s="29" t="str">
        <f t="shared" si="27"/>
        <v/>
      </c>
      <c r="J630" s="30" t="str">
        <f t="shared" si="28"/>
        <v/>
      </c>
      <c r="K630" s="26"/>
      <c r="L630" s="24" t="str">
        <f>IF(N630="","",IF(N630="T","Título de capítulo",IF(OR(ISERROR(F630),ISERROR(G630),ISERROR(H630)),"Error en fórmula: pegá como valores",IF(AND(B630="",$C$6=""),"Falta sector",IF(M630="","Falta capítulo",IF(TRIM(E630)="","Falta unidad",IF(NOT((COUNTIF(Listas!$A$2:$A$40,E630)+COUNTIF(Listas!$D$2:$D$60,E630)&gt;0)),"Unidad no reconocida",IF(AND(F630&lt;&gt;"",NOT(ISNUMBER(F630))),"Cantidad no es número",IF(N(F630)&lt;=0,"Falta cantidad",IF(OR(AND(G630&lt;&gt;"",NOT(ISNUMBER(G630))),AND(H630&lt;&gt;"",NOT(ISNUMBER(H630)))),"Precio no es número",IF(N(G630)+N(H630)&lt;=0,"Falta precio","✓ OK")))))))))))</f>
        <v/>
      </c>
      <c r="M630" t="str">
        <f>IF(N630&lt;&gt;"W","",IF(TRIM(C630)&lt;&gt;"",TRIM(C630),IFERROR(LOOKUP(2,1/(N$9:N630="T"),D$9:D630),"")))</f>
        <v/>
      </c>
      <c r="N630" t="str">
        <f t="shared" si="29"/>
        <v/>
      </c>
      <c r="O630" t="str">
        <f>IF(M630="","",IF(COUNTIF(M$9:M630,M630)=1,MAX(O$8:O629)+1,""))</f>
        <v/>
      </c>
    </row>
    <row r="631" spans="1:15" x14ac:dyDescent="0.75">
      <c r="A631" s="24" t="str">
        <f>IF(N631="W",COUNTIF(N$9:N631,"W"),"")</f>
        <v/>
      </c>
      <c r="B631" s="25"/>
      <c r="C631" s="25"/>
      <c r="D631" s="26"/>
      <c r="E631" s="25"/>
      <c r="F631" s="27"/>
      <c r="G631" s="28"/>
      <c r="H631" s="28"/>
      <c r="I631" s="29" t="str">
        <f t="shared" si="27"/>
        <v/>
      </c>
      <c r="J631" s="30" t="str">
        <f t="shared" si="28"/>
        <v/>
      </c>
      <c r="K631" s="26"/>
      <c r="L631" s="24" t="str">
        <f>IF(N631="","",IF(N631="T","Título de capítulo",IF(OR(ISERROR(F631),ISERROR(G631),ISERROR(H631)),"Error en fórmula: pegá como valores",IF(AND(B631="",$C$6=""),"Falta sector",IF(M631="","Falta capítulo",IF(TRIM(E631)="","Falta unidad",IF(NOT((COUNTIF(Listas!$A$2:$A$40,E631)+COUNTIF(Listas!$D$2:$D$60,E631)&gt;0)),"Unidad no reconocida",IF(AND(F631&lt;&gt;"",NOT(ISNUMBER(F631))),"Cantidad no es número",IF(N(F631)&lt;=0,"Falta cantidad",IF(OR(AND(G631&lt;&gt;"",NOT(ISNUMBER(G631))),AND(H631&lt;&gt;"",NOT(ISNUMBER(H631)))),"Precio no es número",IF(N(G631)+N(H631)&lt;=0,"Falta precio","✓ OK")))))))))))</f>
        <v/>
      </c>
      <c r="M631" t="str">
        <f>IF(N631&lt;&gt;"W","",IF(TRIM(C631)&lt;&gt;"",TRIM(C631),IFERROR(LOOKUP(2,1/(N$9:N631="T"),D$9:D631),"")))</f>
        <v/>
      </c>
      <c r="N631" t="str">
        <f t="shared" si="29"/>
        <v/>
      </c>
      <c r="O631" t="str">
        <f>IF(M631="","",IF(COUNTIF(M$9:M631,M631)=1,MAX(O$8:O630)+1,""))</f>
        <v/>
      </c>
    </row>
    <row r="632" spans="1:15" x14ac:dyDescent="0.75">
      <c r="A632" s="24" t="str">
        <f>IF(N632="W",COUNTIF(N$9:N632,"W"),"")</f>
        <v/>
      </c>
      <c r="B632" s="25"/>
      <c r="C632" s="25"/>
      <c r="D632" s="26"/>
      <c r="E632" s="25"/>
      <c r="F632" s="27"/>
      <c r="G632" s="28"/>
      <c r="H632" s="28"/>
      <c r="I632" s="29" t="str">
        <f t="shared" si="27"/>
        <v/>
      </c>
      <c r="J632" s="30" t="str">
        <f t="shared" si="28"/>
        <v/>
      </c>
      <c r="K632" s="26"/>
      <c r="L632" s="24" t="str">
        <f>IF(N632="","",IF(N632="T","Título de capítulo",IF(OR(ISERROR(F632),ISERROR(G632),ISERROR(H632)),"Error en fórmula: pegá como valores",IF(AND(B632="",$C$6=""),"Falta sector",IF(M632="","Falta capítulo",IF(TRIM(E632)="","Falta unidad",IF(NOT((COUNTIF(Listas!$A$2:$A$40,E632)+COUNTIF(Listas!$D$2:$D$60,E632)&gt;0)),"Unidad no reconocida",IF(AND(F632&lt;&gt;"",NOT(ISNUMBER(F632))),"Cantidad no es número",IF(N(F632)&lt;=0,"Falta cantidad",IF(OR(AND(G632&lt;&gt;"",NOT(ISNUMBER(G632))),AND(H632&lt;&gt;"",NOT(ISNUMBER(H632)))),"Precio no es número",IF(N(G632)+N(H632)&lt;=0,"Falta precio","✓ OK")))))))))))</f>
        <v/>
      </c>
      <c r="M632" t="str">
        <f>IF(N632&lt;&gt;"W","",IF(TRIM(C632)&lt;&gt;"",TRIM(C632),IFERROR(LOOKUP(2,1/(N$9:N632="T"),D$9:D632),"")))</f>
        <v/>
      </c>
      <c r="N632" t="str">
        <f t="shared" si="29"/>
        <v/>
      </c>
      <c r="O632" t="str">
        <f>IF(M632="","",IF(COUNTIF(M$9:M632,M632)=1,MAX(O$8:O631)+1,""))</f>
        <v/>
      </c>
    </row>
    <row r="633" spans="1:15" x14ac:dyDescent="0.75">
      <c r="A633" s="24" t="str">
        <f>IF(N633="W",COUNTIF(N$9:N633,"W"),"")</f>
        <v/>
      </c>
      <c r="B633" s="25"/>
      <c r="C633" s="25"/>
      <c r="D633" s="26"/>
      <c r="E633" s="25"/>
      <c r="F633" s="27"/>
      <c r="G633" s="28"/>
      <c r="H633" s="28"/>
      <c r="I633" s="29" t="str">
        <f t="shared" si="27"/>
        <v/>
      </c>
      <c r="J633" s="30" t="str">
        <f t="shared" si="28"/>
        <v/>
      </c>
      <c r="K633" s="26"/>
      <c r="L633" s="24" t="str">
        <f>IF(N633="","",IF(N633="T","Título de capítulo",IF(OR(ISERROR(F633),ISERROR(G633),ISERROR(H633)),"Error en fórmula: pegá como valores",IF(AND(B633="",$C$6=""),"Falta sector",IF(M633="","Falta capítulo",IF(TRIM(E633)="","Falta unidad",IF(NOT((COUNTIF(Listas!$A$2:$A$40,E633)+COUNTIF(Listas!$D$2:$D$60,E633)&gt;0)),"Unidad no reconocida",IF(AND(F633&lt;&gt;"",NOT(ISNUMBER(F633))),"Cantidad no es número",IF(N(F633)&lt;=0,"Falta cantidad",IF(OR(AND(G633&lt;&gt;"",NOT(ISNUMBER(G633))),AND(H633&lt;&gt;"",NOT(ISNUMBER(H633)))),"Precio no es número",IF(N(G633)+N(H633)&lt;=0,"Falta precio","✓ OK")))))))))))</f>
        <v/>
      </c>
      <c r="M633" t="str">
        <f>IF(N633&lt;&gt;"W","",IF(TRIM(C633)&lt;&gt;"",TRIM(C633),IFERROR(LOOKUP(2,1/(N$9:N633="T"),D$9:D633),"")))</f>
        <v/>
      </c>
      <c r="N633" t="str">
        <f t="shared" si="29"/>
        <v/>
      </c>
      <c r="O633" t="str">
        <f>IF(M633="","",IF(COUNTIF(M$9:M633,M633)=1,MAX(O$8:O632)+1,""))</f>
        <v/>
      </c>
    </row>
    <row r="634" spans="1:15" x14ac:dyDescent="0.75">
      <c r="A634" s="24" t="str">
        <f>IF(N634="W",COUNTIF(N$9:N634,"W"),"")</f>
        <v/>
      </c>
      <c r="B634" s="25"/>
      <c r="C634" s="25"/>
      <c r="D634" s="26"/>
      <c r="E634" s="25"/>
      <c r="F634" s="27"/>
      <c r="G634" s="28"/>
      <c r="H634" s="28"/>
      <c r="I634" s="29" t="str">
        <f t="shared" si="27"/>
        <v/>
      </c>
      <c r="J634" s="30" t="str">
        <f t="shared" si="28"/>
        <v/>
      </c>
      <c r="K634" s="26"/>
      <c r="L634" s="24" t="str">
        <f>IF(N634="","",IF(N634="T","Título de capítulo",IF(OR(ISERROR(F634),ISERROR(G634),ISERROR(H634)),"Error en fórmula: pegá como valores",IF(AND(B634="",$C$6=""),"Falta sector",IF(M634="","Falta capítulo",IF(TRIM(E634)="","Falta unidad",IF(NOT((COUNTIF(Listas!$A$2:$A$40,E634)+COUNTIF(Listas!$D$2:$D$60,E634)&gt;0)),"Unidad no reconocida",IF(AND(F634&lt;&gt;"",NOT(ISNUMBER(F634))),"Cantidad no es número",IF(N(F634)&lt;=0,"Falta cantidad",IF(OR(AND(G634&lt;&gt;"",NOT(ISNUMBER(G634))),AND(H634&lt;&gt;"",NOT(ISNUMBER(H634)))),"Precio no es número",IF(N(G634)+N(H634)&lt;=0,"Falta precio","✓ OK")))))))))))</f>
        <v/>
      </c>
      <c r="M634" t="str">
        <f>IF(N634&lt;&gt;"W","",IF(TRIM(C634)&lt;&gt;"",TRIM(C634),IFERROR(LOOKUP(2,1/(N$9:N634="T"),D$9:D634),"")))</f>
        <v/>
      </c>
      <c r="N634" t="str">
        <f t="shared" si="29"/>
        <v/>
      </c>
      <c r="O634" t="str">
        <f>IF(M634="","",IF(COUNTIF(M$9:M634,M634)=1,MAX(O$8:O633)+1,""))</f>
        <v/>
      </c>
    </row>
    <row r="635" spans="1:15" x14ac:dyDescent="0.75">
      <c r="A635" s="24" t="str">
        <f>IF(N635="W",COUNTIF(N$9:N635,"W"),"")</f>
        <v/>
      </c>
      <c r="B635" s="25"/>
      <c r="C635" s="25"/>
      <c r="D635" s="26"/>
      <c r="E635" s="25"/>
      <c r="F635" s="27"/>
      <c r="G635" s="28"/>
      <c r="H635" s="28"/>
      <c r="I635" s="29" t="str">
        <f t="shared" si="27"/>
        <v/>
      </c>
      <c r="J635" s="30" t="str">
        <f t="shared" si="28"/>
        <v/>
      </c>
      <c r="K635" s="26"/>
      <c r="L635" s="24" t="str">
        <f>IF(N635="","",IF(N635="T","Título de capítulo",IF(OR(ISERROR(F635),ISERROR(G635),ISERROR(H635)),"Error en fórmula: pegá como valores",IF(AND(B635="",$C$6=""),"Falta sector",IF(M635="","Falta capítulo",IF(TRIM(E635)="","Falta unidad",IF(NOT((COUNTIF(Listas!$A$2:$A$40,E635)+COUNTIF(Listas!$D$2:$D$60,E635)&gt;0)),"Unidad no reconocida",IF(AND(F635&lt;&gt;"",NOT(ISNUMBER(F635))),"Cantidad no es número",IF(N(F635)&lt;=0,"Falta cantidad",IF(OR(AND(G635&lt;&gt;"",NOT(ISNUMBER(G635))),AND(H635&lt;&gt;"",NOT(ISNUMBER(H635)))),"Precio no es número",IF(N(G635)+N(H635)&lt;=0,"Falta precio","✓ OK")))))))))))</f>
        <v/>
      </c>
      <c r="M635" t="str">
        <f>IF(N635&lt;&gt;"W","",IF(TRIM(C635)&lt;&gt;"",TRIM(C635),IFERROR(LOOKUP(2,1/(N$9:N635="T"),D$9:D635),"")))</f>
        <v/>
      </c>
      <c r="N635" t="str">
        <f t="shared" si="29"/>
        <v/>
      </c>
      <c r="O635" t="str">
        <f>IF(M635="","",IF(COUNTIF(M$9:M635,M635)=1,MAX(O$8:O634)+1,""))</f>
        <v/>
      </c>
    </row>
    <row r="636" spans="1:15" x14ac:dyDescent="0.75">
      <c r="A636" s="24" t="str">
        <f>IF(N636="W",COUNTIF(N$9:N636,"W"),"")</f>
        <v/>
      </c>
      <c r="B636" s="25"/>
      <c r="C636" s="25"/>
      <c r="D636" s="26"/>
      <c r="E636" s="25"/>
      <c r="F636" s="27"/>
      <c r="G636" s="28"/>
      <c r="H636" s="28"/>
      <c r="I636" s="29" t="str">
        <f t="shared" si="27"/>
        <v/>
      </c>
      <c r="J636" s="30" t="str">
        <f t="shared" si="28"/>
        <v/>
      </c>
      <c r="K636" s="26"/>
      <c r="L636" s="24" t="str">
        <f>IF(N636="","",IF(N636="T","Título de capítulo",IF(OR(ISERROR(F636),ISERROR(G636),ISERROR(H636)),"Error en fórmula: pegá como valores",IF(AND(B636="",$C$6=""),"Falta sector",IF(M636="","Falta capítulo",IF(TRIM(E636)="","Falta unidad",IF(NOT((COUNTIF(Listas!$A$2:$A$40,E636)+COUNTIF(Listas!$D$2:$D$60,E636)&gt;0)),"Unidad no reconocida",IF(AND(F636&lt;&gt;"",NOT(ISNUMBER(F636))),"Cantidad no es número",IF(N(F636)&lt;=0,"Falta cantidad",IF(OR(AND(G636&lt;&gt;"",NOT(ISNUMBER(G636))),AND(H636&lt;&gt;"",NOT(ISNUMBER(H636)))),"Precio no es número",IF(N(G636)+N(H636)&lt;=0,"Falta precio","✓ OK")))))))))))</f>
        <v/>
      </c>
      <c r="M636" t="str">
        <f>IF(N636&lt;&gt;"W","",IF(TRIM(C636)&lt;&gt;"",TRIM(C636),IFERROR(LOOKUP(2,1/(N$9:N636="T"),D$9:D636),"")))</f>
        <v/>
      </c>
      <c r="N636" t="str">
        <f t="shared" si="29"/>
        <v/>
      </c>
      <c r="O636" t="str">
        <f>IF(M636="","",IF(COUNTIF(M$9:M636,M636)=1,MAX(O$8:O635)+1,""))</f>
        <v/>
      </c>
    </row>
    <row r="637" spans="1:15" x14ac:dyDescent="0.75">
      <c r="A637" s="24" t="str">
        <f>IF(N637="W",COUNTIF(N$9:N637,"W"),"")</f>
        <v/>
      </c>
      <c r="B637" s="25"/>
      <c r="C637" s="25"/>
      <c r="D637" s="26"/>
      <c r="E637" s="25"/>
      <c r="F637" s="27"/>
      <c r="G637" s="28"/>
      <c r="H637" s="28"/>
      <c r="I637" s="29" t="str">
        <f t="shared" si="27"/>
        <v/>
      </c>
      <c r="J637" s="30" t="str">
        <f t="shared" si="28"/>
        <v/>
      </c>
      <c r="K637" s="26"/>
      <c r="L637" s="24" t="str">
        <f>IF(N637="","",IF(N637="T","Título de capítulo",IF(OR(ISERROR(F637),ISERROR(G637),ISERROR(H637)),"Error en fórmula: pegá como valores",IF(AND(B637="",$C$6=""),"Falta sector",IF(M637="","Falta capítulo",IF(TRIM(E637)="","Falta unidad",IF(NOT((COUNTIF(Listas!$A$2:$A$40,E637)+COUNTIF(Listas!$D$2:$D$60,E637)&gt;0)),"Unidad no reconocida",IF(AND(F637&lt;&gt;"",NOT(ISNUMBER(F637))),"Cantidad no es número",IF(N(F637)&lt;=0,"Falta cantidad",IF(OR(AND(G637&lt;&gt;"",NOT(ISNUMBER(G637))),AND(H637&lt;&gt;"",NOT(ISNUMBER(H637)))),"Precio no es número",IF(N(G637)+N(H637)&lt;=0,"Falta precio","✓ OK")))))))))))</f>
        <v/>
      </c>
      <c r="M637" t="str">
        <f>IF(N637&lt;&gt;"W","",IF(TRIM(C637)&lt;&gt;"",TRIM(C637),IFERROR(LOOKUP(2,1/(N$9:N637="T"),D$9:D637),"")))</f>
        <v/>
      </c>
      <c r="N637" t="str">
        <f t="shared" si="29"/>
        <v/>
      </c>
      <c r="O637" t="str">
        <f>IF(M637="","",IF(COUNTIF(M$9:M637,M637)=1,MAX(O$8:O636)+1,""))</f>
        <v/>
      </c>
    </row>
    <row r="638" spans="1:15" x14ac:dyDescent="0.75">
      <c r="A638" s="24" t="str">
        <f>IF(N638="W",COUNTIF(N$9:N638,"W"),"")</f>
        <v/>
      </c>
      <c r="B638" s="25"/>
      <c r="C638" s="25"/>
      <c r="D638" s="26"/>
      <c r="E638" s="25"/>
      <c r="F638" s="27"/>
      <c r="G638" s="28"/>
      <c r="H638" s="28"/>
      <c r="I638" s="29" t="str">
        <f t="shared" si="27"/>
        <v/>
      </c>
      <c r="J638" s="30" t="str">
        <f t="shared" si="28"/>
        <v/>
      </c>
      <c r="K638" s="26"/>
      <c r="L638" s="24" t="str">
        <f>IF(N638="","",IF(N638="T","Título de capítulo",IF(OR(ISERROR(F638),ISERROR(G638),ISERROR(H638)),"Error en fórmula: pegá como valores",IF(AND(B638="",$C$6=""),"Falta sector",IF(M638="","Falta capítulo",IF(TRIM(E638)="","Falta unidad",IF(NOT((COUNTIF(Listas!$A$2:$A$40,E638)+COUNTIF(Listas!$D$2:$D$60,E638)&gt;0)),"Unidad no reconocida",IF(AND(F638&lt;&gt;"",NOT(ISNUMBER(F638))),"Cantidad no es número",IF(N(F638)&lt;=0,"Falta cantidad",IF(OR(AND(G638&lt;&gt;"",NOT(ISNUMBER(G638))),AND(H638&lt;&gt;"",NOT(ISNUMBER(H638)))),"Precio no es número",IF(N(G638)+N(H638)&lt;=0,"Falta precio","✓ OK")))))))))))</f>
        <v/>
      </c>
      <c r="M638" t="str">
        <f>IF(N638&lt;&gt;"W","",IF(TRIM(C638)&lt;&gt;"",TRIM(C638),IFERROR(LOOKUP(2,1/(N$9:N638="T"),D$9:D638),"")))</f>
        <v/>
      </c>
      <c r="N638" t="str">
        <f t="shared" si="29"/>
        <v/>
      </c>
      <c r="O638" t="str">
        <f>IF(M638="","",IF(COUNTIF(M$9:M638,M638)=1,MAX(O$8:O637)+1,""))</f>
        <v/>
      </c>
    </row>
    <row r="639" spans="1:15" x14ac:dyDescent="0.75">
      <c r="A639" s="24" t="str">
        <f>IF(N639="W",COUNTIF(N$9:N639,"W"),"")</f>
        <v/>
      </c>
      <c r="B639" s="25"/>
      <c r="C639" s="25"/>
      <c r="D639" s="26"/>
      <c r="E639" s="25"/>
      <c r="F639" s="27"/>
      <c r="G639" s="28"/>
      <c r="H639" s="28"/>
      <c r="I639" s="29" t="str">
        <f t="shared" si="27"/>
        <v/>
      </c>
      <c r="J639" s="30" t="str">
        <f t="shared" si="28"/>
        <v/>
      </c>
      <c r="K639" s="26"/>
      <c r="L639" s="24" t="str">
        <f>IF(N639="","",IF(N639="T","Título de capítulo",IF(OR(ISERROR(F639),ISERROR(G639),ISERROR(H639)),"Error en fórmula: pegá como valores",IF(AND(B639="",$C$6=""),"Falta sector",IF(M639="","Falta capítulo",IF(TRIM(E639)="","Falta unidad",IF(NOT((COUNTIF(Listas!$A$2:$A$40,E639)+COUNTIF(Listas!$D$2:$D$60,E639)&gt;0)),"Unidad no reconocida",IF(AND(F639&lt;&gt;"",NOT(ISNUMBER(F639))),"Cantidad no es número",IF(N(F639)&lt;=0,"Falta cantidad",IF(OR(AND(G639&lt;&gt;"",NOT(ISNUMBER(G639))),AND(H639&lt;&gt;"",NOT(ISNUMBER(H639)))),"Precio no es número",IF(N(G639)+N(H639)&lt;=0,"Falta precio","✓ OK")))))))))))</f>
        <v/>
      </c>
      <c r="M639" t="str">
        <f>IF(N639&lt;&gt;"W","",IF(TRIM(C639)&lt;&gt;"",TRIM(C639),IFERROR(LOOKUP(2,1/(N$9:N639="T"),D$9:D639),"")))</f>
        <v/>
      </c>
      <c r="N639" t="str">
        <f t="shared" si="29"/>
        <v/>
      </c>
      <c r="O639" t="str">
        <f>IF(M639="","",IF(COUNTIF(M$9:M639,M639)=1,MAX(O$8:O638)+1,""))</f>
        <v/>
      </c>
    </row>
    <row r="640" spans="1:15" x14ac:dyDescent="0.75">
      <c r="A640" s="24" t="str">
        <f>IF(N640="W",COUNTIF(N$9:N640,"W"),"")</f>
        <v/>
      </c>
      <c r="B640" s="25"/>
      <c r="C640" s="25"/>
      <c r="D640" s="26"/>
      <c r="E640" s="25"/>
      <c r="F640" s="27"/>
      <c r="G640" s="28"/>
      <c r="H640" s="28"/>
      <c r="I640" s="29" t="str">
        <f t="shared" si="27"/>
        <v/>
      </c>
      <c r="J640" s="30" t="str">
        <f t="shared" si="28"/>
        <v/>
      </c>
      <c r="K640" s="26"/>
      <c r="L640" s="24" t="str">
        <f>IF(N640="","",IF(N640="T","Título de capítulo",IF(OR(ISERROR(F640),ISERROR(G640),ISERROR(H640)),"Error en fórmula: pegá como valores",IF(AND(B640="",$C$6=""),"Falta sector",IF(M640="","Falta capítulo",IF(TRIM(E640)="","Falta unidad",IF(NOT((COUNTIF(Listas!$A$2:$A$40,E640)+COUNTIF(Listas!$D$2:$D$60,E640)&gt;0)),"Unidad no reconocida",IF(AND(F640&lt;&gt;"",NOT(ISNUMBER(F640))),"Cantidad no es número",IF(N(F640)&lt;=0,"Falta cantidad",IF(OR(AND(G640&lt;&gt;"",NOT(ISNUMBER(G640))),AND(H640&lt;&gt;"",NOT(ISNUMBER(H640)))),"Precio no es número",IF(N(G640)+N(H640)&lt;=0,"Falta precio","✓ OK")))))))))))</f>
        <v/>
      </c>
      <c r="M640" t="str">
        <f>IF(N640&lt;&gt;"W","",IF(TRIM(C640)&lt;&gt;"",TRIM(C640),IFERROR(LOOKUP(2,1/(N$9:N640="T"),D$9:D640),"")))</f>
        <v/>
      </c>
      <c r="N640" t="str">
        <f t="shared" si="29"/>
        <v/>
      </c>
      <c r="O640" t="str">
        <f>IF(M640="","",IF(COUNTIF(M$9:M640,M640)=1,MAX(O$8:O639)+1,""))</f>
        <v/>
      </c>
    </row>
    <row r="641" spans="1:15" x14ac:dyDescent="0.75">
      <c r="A641" s="24" t="str">
        <f>IF(N641="W",COUNTIF(N$9:N641,"W"),"")</f>
        <v/>
      </c>
      <c r="B641" s="25"/>
      <c r="C641" s="25"/>
      <c r="D641" s="26"/>
      <c r="E641" s="25"/>
      <c r="F641" s="27"/>
      <c r="G641" s="28"/>
      <c r="H641" s="28"/>
      <c r="I641" s="29" t="str">
        <f t="shared" si="27"/>
        <v/>
      </c>
      <c r="J641" s="30" t="str">
        <f t="shared" si="28"/>
        <v/>
      </c>
      <c r="K641" s="26"/>
      <c r="L641" s="24" t="str">
        <f>IF(N641="","",IF(N641="T","Título de capítulo",IF(OR(ISERROR(F641),ISERROR(G641),ISERROR(H641)),"Error en fórmula: pegá como valores",IF(AND(B641="",$C$6=""),"Falta sector",IF(M641="","Falta capítulo",IF(TRIM(E641)="","Falta unidad",IF(NOT((COUNTIF(Listas!$A$2:$A$40,E641)+COUNTIF(Listas!$D$2:$D$60,E641)&gt;0)),"Unidad no reconocida",IF(AND(F641&lt;&gt;"",NOT(ISNUMBER(F641))),"Cantidad no es número",IF(N(F641)&lt;=0,"Falta cantidad",IF(OR(AND(G641&lt;&gt;"",NOT(ISNUMBER(G641))),AND(H641&lt;&gt;"",NOT(ISNUMBER(H641)))),"Precio no es número",IF(N(G641)+N(H641)&lt;=0,"Falta precio","✓ OK")))))))))))</f>
        <v/>
      </c>
      <c r="M641" t="str">
        <f>IF(N641&lt;&gt;"W","",IF(TRIM(C641)&lt;&gt;"",TRIM(C641),IFERROR(LOOKUP(2,1/(N$9:N641="T"),D$9:D641),"")))</f>
        <v/>
      </c>
      <c r="N641" t="str">
        <f t="shared" si="29"/>
        <v/>
      </c>
      <c r="O641" t="str">
        <f>IF(M641="","",IF(COUNTIF(M$9:M641,M641)=1,MAX(O$8:O640)+1,""))</f>
        <v/>
      </c>
    </row>
    <row r="642" spans="1:15" x14ac:dyDescent="0.75">
      <c r="A642" s="24" t="str">
        <f>IF(N642="W",COUNTIF(N$9:N642,"W"),"")</f>
        <v/>
      </c>
      <c r="B642" s="25"/>
      <c r="C642" s="25"/>
      <c r="D642" s="26"/>
      <c r="E642" s="25"/>
      <c r="F642" s="27"/>
      <c r="G642" s="28"/>
      <c r="H642" s="28"/>
      <c r="I642" s="29" t="str">
        <f t="shared" si="27"/>
        <v/>
      </c>
      <c r="J642" s="30" t="str">
        <f t="shared" si="28"/>
        <v/>
      </c>
      <c r="K642" s="26"/>
      <c r="L642" s="24" t="str">
        <f>IF(N642="","",IF(N642="T","Título de capítulo",IF(OR(ISERROR(F642),ISERROR(G642),ISERROR(H642)),"Error en fórmula: pegá como valores",IF(AND(B642="",$C$6=""),"Falta sector",IF(M642="","Falta capítulo",IF(TRIM(E642)="","Falta unidad",IF(NOT((COUNTIF(Listas!$A$2:$A$40,E642)+COUNTIF(Listas!$D$2:$D$60,E642)&gt;0)),"Unidad no reconocida",IF(AND(F642&lt;&gt;"",NOT(ISNUMBER(F642))),"Cantidad no es número",IF(N(F642)&lt;=0,"Falta cantidad",IF(OR(AND(G642&lt;&gt;"",NOT(ISNUMBER(G642))),AND(H642&lt;&gt;"",NOT(ISNUMBER(H642)))),"Precio no es número",IF(N(G642)+N(H642)&lt;=0,"Falta precio","✓ OK")))))))))))</f>
        <v/>
      </c>
      <c r="M642" t="str">
        <f>IF(N642&lt;&gt;"W","",IF(TRIM(C642)&lt;&gt;"",TRIM(C642),IFERROR(LOOKUP(2,1/(N$9:N642="T"),D$9:D642),"")))</f>
        <v/>
      </c>
      <c r="N642" t="str">
        <f t="shared" si="29"/>
        <v/>
      </c>
      <c r="O642" t="str">
        <f>IF(M642="","",IF(COUNTIF(M$9:M642,M642)=1,MAX(O$8:O641)+1,""))</f>
        <v/>
      </c>
    </row>
    <row r="643" spans="1:15" x14ac:dyDescent="0.75">
      <c r="A643" s="24" t="str">
        <f>IF(N643="W",COUNTIF(N$9:N643,"W"),"")</f>
        <v/>
      </c>
      <c r="B643" s="25"/>
      <c r="C643" s="25"/>
      <c r="D643" s="26"/>
      <c r="E643" s="25"/>
      <c r="F643" s="27"/>
      <c r="G643" s="28"/>
      <c r="H643" s="28"/>
      <c r="I643" s="29" t="str">
        <f t="shared" si="27"/>
        <v/>
      </c>
      <c r="J643" s="30" t="str">
        <f t="shared" si="28"/>
        <v/>
      </c>
      <c r="K643" s="26"/>
      <c r="L643" s="24" t="str">
        <f>IF(N643="","",IF(N643="T","Título de capítulo",IF(OR(ISERROR(F643),ISERROR(G643),ISERROR(H643)),"Error en fórmula: pegá como valores",IF(AND(B643="",$C$6=""),"Falta sector",IF(M643="","Falta capítulo",IF(TRIM(E643)="","Falta unidad",IF(NOT((COUNTIF(Listas!$A$2:$A$40,E643)+COUNTIF(Listas!$D$2:$D$60,E643)&gt;0)),"Unidad no reconocida",IF(AND(F643&lt;&gt;"",NOT(ISNUMBER(F643))),"Cantidad no es número",IF(N(F643)&lt;=0,"Falta cantidad",IF(OR(AND(G643&lt;&gt;"",NOT(ISNUMBER(G643))),AND(H643&lt;&gt;"",NOT(ISNUMBER(H643)))),"Precio no es número",IF(N(G643)+N(H643)&lt;=0,"Falta precio","✓ OK")))))))))))</f>
        <v/>
      </c>
      <c r="M643" t="str">
        <f>IF(N643&lt;&gt;"W","",IF(TRIM(C643)&lt;&gt;"",TRIM(C643),IFERROR(LOOKUP(2,1/(N$9:N643="T"),D$9:D643),"")))</f>
        <v/>
      </c>
      <c r="N643" t="str">
        <f t="shared" si="29"/>
        <v/>
      </c>
      <c r="O643" t="str">
        <f>IF(M643="","",IF(COUNTIF(M$9:M643,M643)=1,MAX(O$8:O642)+1,""))</f>
        <v/>
      </c>
    </row>
    <row r="644" spans="1:15" x14ac:dyDescent="0.75">
      <c r="A644" s="24" t="str">
        <f>IF(N644="W",COUNTIF(N$9:N644,"W"),"")</f>
        <v/>
      </c>
      <c r="B644" s="25"/>
      <c r="C644" s="25"/>
      <c r="D644" s="26"/>
      <c r="E644" s="25"/>
      <c r="F644" s="27"/>
      <c r="G644" s="28"/>
      <c r="H644" s="28"/>
      <c r="I644" s="29" t="str">
        <f t="shared" si="27"/>
        <v/>
      </c>
      <c r="J644" s="30" t="str">
        <f t="shared" si="28"/>
        <v/>
      </c>
      <c r="K644" s="26"/>
      <c r="L644" s="24" t="str">
        <f>IF(N644="","",IF(N644="T","Título de capítulo",IF(OR(ISERROR(F644),ISERROR(G644),ISERROR(H644)),"Error en fórmula: pegá como valores",IF(AND(B644="",$C$6=""),"Falta sector",IF(M644="","Falta capítulo",IF(TRIM(E644)="","Falta unidad",IF(NOT((COUNTIF(Listas!$A$2:$A$40,E644)+COUNTIF(Listas!$D$2:$D$60,E644)&gt;0)),"Unidad no reconocida",IF(AND(F644&lt;&gt;"",NOT(ISNUMBER(F644))),"Cantidad no es número",IF(N(F644)&lt;=0,"Falta cantidad",IF(OR(AND(G644&lt;&gt;"",NOT(ISNUMBER(G644))),AND(H644&lt;&gt;"",NOT(ISNUMBER(H644)))),"Precio no es número",IF(N(G644)+N(H644)&lt;=0,"Falta precio","✓ OK")))))))))))</f>
        <v/>
      </c>
      <c r="M644" t="str">
        <f>IF(N644&lt;&gt;"W","",IF(TRIM(C644)&lt;&gt;"",TRIM(C644),IFERROR(LOOKUP(2,1/(N$9:N644="T"),D$9:D644),"")))</f>
        <v/>
      </c>
      <c r="N644" t="str">
        <f t="shared" si="29"/>
        <v/>
      </c>
      <c r="O644" t="str">
        <f>IF(M644="","",IF(COUNTIF(M$9:M644,M644)=1,MAX(O$8:O643)+1,""))</f>
        <v/>
      </c>
    </row>
    <row r="645" spans="1:15" x14ac:dyDescent="0.75">
      <c r="A645" s="24" t="str">
        <f>IF(N645="W",COUNTIF(N$9:N645,"W"),"")</f>
        <v/>
      </c>
      <c r="B645" s="25"/>
      <c r="C645" s="25"/>
      <c r="D645" s="26"/>
      <c r="E645" s="25"/>
      <c r="F645" s="27"/>
      <c r="G645" s="28"/>
      <c r="H645" s="28"/>
      <c r="I645" s="29" t="str">
        <f t="shared" si="27"/>
        <v/>
      </c>
      <c r="J645" s="30" t="str">
        <f t="shared" si="28"/>
        <v/>
      </c>
      <c r="K645" s="26"/>
      <c r="L645" s="24" t="str">
        <f>IF(N645="","",IF(N645="T","Título de capítulo",IF(OR(ISERROR(F645),ISERROR(G645),ISERROR(H645)),"Error en fórmula: pegá como valores",IF(AND(B645="",$C$6=""),"Falta sector",IF(M645="","Falta capítulo",IF(TRIM(E645)="","Falta unidad",IF(NOT((COUNTIF(Listas!$A$2:$A$40,E645)+COUNTIF(Listas!$D$2:$D$60,E645)&gt;0)),"Unidad no reconocida",IF(AND(F645&lt;&gt;"",NOT(ISNUMBER(F645))),"Cantidad no es número",IF(N(F645)&lt;=0,"Falta cantidad",IF(OR(AND(G645&lt;&gt;"",NOT(ISNUMBER(G645))),AND(H645&lt;&gt;"",NOT(ISNUMBER(H645)))),"Precio no es número",IF(N(G645)+N(H645)&lt;=0,"Falta precio","✓ OK")))))))))))</f>
        <v/>
      </c>
      <c r="M645" t="str">
        <f>IF(N645&lt;&gt;"W","",IF(TRIM(C645)&lt;&gt;"",TRIM(C645),IFERROR(LOOKUP(2,1/(N$9:N645="T"),D$9:D645),"")))</f>
        <v/>
      </c>
      <c r="N645" t="str">
        <f t="shared" si="29"/>
        <v/>
      </c>
      <c r="O645" t="str">
        <f>IF(M645="","",IF(COUNTIF(M$9:M645,M645)=1,MAX(O$8:O644)+1,""))</f>
        <v/>
      </c>
    </row>
    <row r="646" spans="1:15" x14ac:dyDescent="0.75">
      <c r="A646" s="24" t="str">
        <f>IF(N646="W",COUNTIF(N$9:N646,"W"),"")</f>
        <v/>
      </c>
      <c r="B646" s="25"/>
      <c r="C646" s="25"/>
      <c r="D646" s="26"/>
      <c r="E646" s="25"/>
      <c r="F646" s="27"/>
      <c r="G646" s="28"/>
      <c r="H646" s="28"/>
      <c r="I646" s="29" t="str">
        <f t="shared" si="27"/>
        <v/>
      </c>
      <c r="J646" s="30" t="str">
        <f t="shared" si="28"/>
        <v/>
      </c>
      <c r="K646" s="26"/>
      <c r="L646" s="24" t="str">
        <f>IF(N646="","",IF(N646="T","Título de capítulo",IF(OR(ISERROR(F646),ISERROR(G646),ISERROR(H646)),"Error en fórmula: pegá como valores",IF(AND(B646="",$C$6=""),"Falta sector",IF(M646="","Falta capítulo",IF(TRIM(E646)="","Falta unidad",IF(NOT((COUNTIF(Listas!$A$2:$A$40,E646)+COUNTIF(Listas!$D$2:$D$60,E646)&gt;0)),"Unidad no reconocida",IF(AND(F646&lt;&gt;"",NOT(ISNUMBER(F646))),"Cantidad no es número",IF(N(F646)&lt;=0,"Falta cantidad",IF(OR(AND(G646&lt;&gt;"",NOT(ISNUMBER(G646))),AND(H646&lt;&gt;"",NOT(ISNUMBER(H646)))),"Precio no es número",IF(N(G646)+N(H646)&lt;=0,"Falta precio","✓ OK")))))))))))</f>
        <v/>
      </c>
      <c r="M646" t="str">
        <f>IF(N646&lt;&gt;"W","",IF(TRIM(C646)&lt;&gt;"",TRIM(C646),IFERROR(LOOKUP(2,1/(N$9:N646="T"),D$9:D646),"")))</f>
        <v/>
      </c>
      <c r="N646" t="str">
        <f t="shared" si="29"/>
        <v/>
      </c>
      <c r="O646" t="str">
        <f>IF(M646="","",IF(COUNTIF(M$9:M646,M646)=1,MAX(O$8:O645)+1,""))</f>
        <v/>
      </c>
    </row>
    <row r="647" spans="1:15" x14ac:dyDescent="0.75">
      <c r="A647" s="24" t="str">
        <f>IF(N647="W",COUNTIF(N$9:N647,"W"),"")</f>
        <v/>
      </c>
      <c r="B647" s="25"/>
      <c r="C647" s="25"/>
      <c r="D647" s="26"/>
      <c r="E647" s="25"/>
      <c r="F647" s="27"/>
      <c r="G647" s="28"/>
      <c r="H647" s="28"/>
      <c r="I647" s="29" t="str">
        <f t="shared" si="27"/>
        <v/>
      </c>
      <c r="J647" s="30" t="str">
        <f t="shared" si="28"/>
        <v/>
      </c>
      <c r="K647" s="26"/>
      <c r="L647" s="24" t="str">
        <f>IF(N647="","",IF(N647="T","Título de capítulo",IF(OR(ISERROR(F647),ISERROR(G647),ISERROR(H647)),"Error en fórmula: pegá como valores",IF(AND(B647="",$C$6=""),"Falta sector",IF(M647="","Falta capítulo",IF(TRIM(E647)="","Falta unidad",IF(NOT((COUNTIF(Listas!$A$2:$A$40,E647)+COUNTIF(Listas!$D$2:$D$60,E647)&gt;0)),"Unidad no reconocida",IF(AND(F647&lt;&gt;"",NOT(ISNUMBER(F647))),"Cantidad no es número",IF(N(F647)&lt;=0,"Falta cantidad",IF(OR(AND(G647&lt;&gt;"",NOT(ISNUMBER(G647))),AND(H647&lt;&gt;"",NOT(ISNUMBER(H647)))),"Precio no es número",IF(N(G647)+N(H647)&lt;=0,"Falta precio","✓ OK")))))))))))</f>
        <v/>
      </c>
      <c r="M647" t="str">
        <f>IF(N647&lt;&gt;"W","",IF(TRIM(C647)&lt;&gt;"",TRIM(C647),IFERROR(LOOKUP(2,1/(N$9:N647="T"),D$9:D647),"")))</f>
        <v/>
      </c>
      <c r="N647" t="str">
        <f t="shared" si="29"/>
        <v/>
      </c>
      <c r="O647" t="str">
        <f>IF(M647="","",IF(COUNTIF(M$9:M647,M647)=1,MAX(O$8:O646)+1,""))</f>
        <v/>
      </c>
    </row>
    <row r="648" spans="1:15" x14ac:dyDescent="0.75">
      <c r="A648" s="24" t="str">
        <f>IF(N648="W",COUNTIF(N$9:N648,"W"),"")</f>
        <v/>
      </c>
      <c r="B648" s="25"/>
      <c r="C648" s="25"/>
      <c r="D648" s="26"/>
      <c r="E648" s="25"/>
      <c r="F648" s="27"/>
      <c r="G648" s="28"/>
      <c r="H648" s="28"/>
      <c r="I648" s="29" t="str">
        <f t="shared" si="27"/>
        <v/>
      </c>
      <c r="J648" s="30" t="str">
        <f t="shared" si="28"/>
        <v/>
      </c>
      <c r="K648" s="26"/>
      <c r="L648" s="24" t="str">
        <f>IF(N648="","",IF(N648="T","Título de capítulo",IF(OR(ISERROR(F648),ISERROR(G648),ISERROR(H648)),"Error en fórmula: pegá como valores",IF(AND(B648="",$C$6=""),"Falta sector",IF(M648="","Falta capítulo",IF(TRIM(E648)="","Falta unidad",IF(NOT((COUNTIF(Listas!$A$2:$A$40,E648)+COUNTIF(Listas!$D$2:$D$60,E648)&gt;0)),"Unidad no reconocida",IF(AND(F648&lt;&gt;"",NOT(ISNUMBER(F648))),"Cantidad no es número",IF(N(F648)&lt;=0,"Falta cantidad",IF(OR(AND(G648&lt;&gt;"",NOT(ISNUMBER(G648))),AND(H648&lt;&gt;"",NOT(ISNUMBER(H648)))),"Precio no es número",IF(N(G648)+N(H648)&lt;=0,"Falta precio","✓ OK")))))))))))</f>
        <v/>
      </c>
      <c r="M648" t="str">
        <f>IF(N648&lt;&gt;"W","",IF(TRIM(C648)&lt;&gt;"",TRIM(C648),IFERROR(LOOKUP(2,1/(N$9:N648="T"),D$9:D648),"")))</f>
        <v/>
      </c>
      <c r="N648" t="str">
        <f t="shared" si="29"/>
        <v/>
      </c>
      <c r="O648" t="str">
        <f>IF(M648="","",IF(COUNTIF(M$9:M648,M648)=1,MAX(O$8:O647)+1,""))</f>
        <v/>
      </c>
    </row>
    <row r="649" spans="1:15" x14ac:dyDescent="0.75">
      <c r="A649" s="24" t="str">
        <f>IF(N649="W",COUNTIF(N$9:N649,"W"),"")</f>
        <v/>
      </c>
      <c r="B649" s="25"/>
      <c r="C649" s="25"/>
      <c r="D649" s="26"/>
      <c r="E649" s="25"/>
      <c r="F649" s="27"/>
      <c r="G649" s="28"/>
      <c r="H649" s="28"/>
      <c r="I649" s="29" t="str">
        <f t="shared" ref="I649:I712" si="30">IF(N649="W",IFERROR(N(G649)+N(H649),0),"")</f>
        <v/>
      </c>
      <c r="J649" s="30" t="str">
        <f t="shared" ref="J649:J712" si="31">IF(N649="W",IFERROR(N(F649)*I649,0),"")</f>
        <v/>
      </c>
      <c r="K649" s="26"/>
      <c r="L649" s="24" t="str">
        <f>IF(N649="","",IF(N649="T","Título de capítulo",IF(OR(ISERROR(F649),ISERROR(G649),ISERROR(H649)),"Error en fórmula: pegá como valores",IF(AND(B649="",$C$6=""),"Falta sector",IF(M649="","Falta capítulo",IF(TRIM(E649)="","Falta unidad",IF(NOT((COUNTIF(Listas!$A$2:$A$40,E649)+COUNTIF(Listas!$D$2:$D$60,E649)&gt;0)),"Unidad no reconocida",IF(AND(F649&lt;&gt;"",NOT(ISNUMBER(F649))),"Cantidad no es número",IF(N(F649)&lt;=0,"Falta cantidad",IF(OR(AND(G649&lt;&gt;"",NOT(ISNUMBER(G649))),AND(H649&lt;&gt;"",NOT(ISNUMBER(H649)))),"Precio no es número",IF(N(G649)+N(H649)&lt;=0,"Falta precio","✓ OK")))))))))))</f>
        <v/>
      </c>
      <c r="M649" t="str">
        <f>IF(N649&lt;&gt;"W","",IF(TRIM(C649)&lt;&gt;"",TRIM(C649),IFERROR(LOOKUP(2,1/(N$9:N649="T"),D$9:D649),"")))</f>
        <v/>
      </c>
      <c r="N649" t="str">
        <f t="shared" ref="N649:N712" si="32">IF(TRIM(D649)="","",IF(AND(TRIM(E649)="",IFERROR(N(F649),1)=0,IFERROR(N(G649)+N(H649),1)=0),"T","W"))</f>
        <v/>
      </c>
      <c r="O649" t="str">
        <f>IF(M649="","",IF(COUNTIF(M$9:M649,M649)=1,MAX(O$8:O648)+1,""))</f>
        <v/>
      </c>
    </row>
    <row r="650" spans="1:15" x14ac:dyDescent="0.75">
      <c r="A650" s="24" t="str">
        <f>IF(N650="W",COUNTIF(N$9:N650,"W"),"")</f>
        <v/>
      </c>
      <c r="B650" s="25"/>
      <c r="C650" s="25"/>
      <c r="D650" s="26"/>
      <c r="E650" s="25"/>
      <c r="F650" s="27"/>
      <c r="G650" s="28"/>
      <c r="H650" s="28"/>
      <c r="I650" s="29" t="str">
        <f t="shared" si="30"/>
        <v/>
      </c>
      <c r="J650" s="30" t="str">
        <f t="shared" si="31"/>
        <v/>
      </c>
      <c r="K650" s="26"/>
      <c r="L650" s="24" t="str">
        <f>IF(N650="","",IF(N650="T","Título de capítulo",IF(OR(ISERROR(F650),ISERROR(G650),ISERROR(H650)),"Error en fórmula: pegá como valores",IF(AND(B650="",$C$6=""),"Falta sector",IF(M650="","Falta capítulo",IF(TRIM(E650)="","Falta unidad",IF(NOT((COUNTIF(Listas!$A$2:$A$40,E650)+COUNTIF(Listas!$D$2:$D$60,E650)&gt;0)),"Unidad no reconocida",IF(AND(F650&lt;&gt;"",NOT(ISNUMBER(F650))),"Cantidad no es número",IF(N(F650)&lt;=0,"Falta cantidad",IF(OR(AND(G650&lt;&gt;"",NOT(ISNUMBER(G650))),AND(H650&lt;&gt;"",NOT(ISNUMBER(H650)))),"Precio no es número",IF(N(G650)+N(H650)&lt;=0,"Falta precio","✓ OK")))))))))))</f>
        <v/>
      </c>
      <c r="M650" t="str">
        <f>IF(N650&lt;&gt;"W","",IF(TRIM(C650)&lt;&gt;"",TRIM(C650),IFERROR(LOOKUP(2,1/(N$9:N650="T"),D$9:D650),"")))</f>
        <v/>
      </c>
      <c r="N650" t="str">
        <f t="shared" si="32"/>
        <v/>
      </c>
      <c r="O650" t="str">
        <f>IF(M650="","",IF(COUNTIF(M$9:M650,M650)=1,MAX(O$8:O649)+1,""))</f>
        <v/>
      </c>
    </row>
    <row r="651" spans="1:15" x14ac:dyDescent="0.75">
      <c r="A651" s="24" t="str">
        <f>IF(N651="W",COUNTIF(N$9:N651,"W"),"")</f>
        <v/>
      </c>
      <c r="B651" s="25"/>
      <c r="C651" s="25"/>
      <c r="D651" s="26"/>
      <c r="E651" s="25"/>
      <c r="F651" s="27"/>
      <c r="G651" s="28"/>
      <c r="H651" s="28"/>
      <c r="I651" s="29" t="str">
        <f t="shared" si="30"/>
        <v/>
      </c>
      <c r="J651" s="30" t="str">
        <f t="shared" si="31"/>
        <v/>
      </c>
      <c r="K651" s="26"/>
      <c r="L651" s="24" t="str">
        <f>IF(N651="","",IF(N651="T","Título de capítulo",IF(OR(ISERROR(F651),ISERROR(G651),ISERROR(H651)),"Error en fórmula: pegá como valores",IF(AND(B651="",$C$6=""),"Falta sector",IF(M651="","Falta capítulo",IF(TRIM(E651)="","Falta unidad",IF(NOT((COUNTIF(Listas!$A$2:$A$40,E651)+COUNTIF(Listas!$D$2:$D$60,E651)&gt;0)),"Unidad no reconocida",IF(AND(F651&lt;&gt;"",NOT(ISNUMBER(F651))),"Cantidad no es número",IF(N(F651)&lt;=0,"Falta cantidad",IF(OR(AND(G651&lt;&gt;"",NOT(ISNUMBER(G651))),AND(H651&lt;&gt;"",NOT(ISNUMBER(H651)))),"Precio no es número",IF(N(G651)+N(H651)&lt;=0,"Falta precio","✓ OK")))))))))))</f>
        <v/>
      </c>
      <c r="M651" t="str">
        <f>IF(N651&lt;&gt;"W","",IF(TRIM(C651)&lt;&gt;"",TRIM(C651),IFERROR(LOOKUP(2,1/(N$9:N651="T"),D$9:D651),"")))</f>
        <v/>
      </c>
      <c r="N651" t="str">
        <f t="shared" si="32"/>
        <v/>
      </c>
      <c r="O651" t="str">
        <f>IF(M651="","",IF(COUNTIF(M$9:M651,M651)=1,MAX(O$8:O650)+1,""))</f>
        <v/>
      </c>
    </row>
    <row r="652" spans="1:15" x14ac:dyDescent="0.75">
      <c r="A652" s="24" t="str">
        <f>IF(N652="W",COUNTIF(N$9:N652,"W"),"")</f>
        <v/>
      </c>
      <c r="B652" s="25"/>
      <c r="C652" s="25"/>
      <c r="D652" s="26"/>
      <c r="E652" s="25"/>
      <c r="F652" s="27"/>
      <c r="G652" s="28"/>
      <c r="H652" s="28"/>
      <c r="I652" s="29" t="str">
        <f t="shared" si="30"/>
        <v/>
      </c>
      <c r="J652" s="30" t="str">
        <f t="shared" si="31"/>
        <v/>
      </c>
      <c r="K652" s="26"/>
      <c r="L652" s="24" t="str">
        <f>IF(N652="","",IF(N652="T","Título de capítulo",IF(OR(ISERROR(F652),ISERROR(G652),ISERROR(H652)),"Error en fórmula: pegá como valores",IF(AND(B652="",$C$6=""),"Falta sector",IF(M652="","Falta capítulo",IF(TRIM(E652)="","Falta unidad",IF(NOT((COUNTIF(Listas!$A$2:$A$40,E652)+COUNTIF(Listas!$D$2:$D$60,E652)&gt;0)),"Unidad no reconocida",IF(AND(F652&lt;&gt;"",NOT(ISNUMBER(F652))),"Cantidad no es número",IF(N(F652)&lt;=0,"Falta cantidad",IF(OR(AND(G652&lt;&gt;"",NOT(ISNUMBER(G652))),AND(H652&lt;&gt;"",NOT(ISNUMBER(H652)))),"Precio no es número",IF(N(G652)+N(H652)&lt;=0,"Falta precio","✓ OK")))))))))))</f>
        <v/>
      </c>
      <c r="M652" t="str">
        <f>IF(N652&lt;&gt;"W","",IF(TRIM(C652)&lt;&gt;"",TRIM(C652),IFERROR(LOOKUP(2,1/(N$9:N652="T"),D$9:D652),"")))</f>
        <v/>
      </c>
      <c r="N652" t="str">
        <f t="shared" si="32"/>
        <v/>
      </c>
      <c r="O652" t="str">
        <f>IF(M652="","",IF(COUNTIF(M$9:M652,M652)=1,MAX(O$8:O651)+1,""))</f>
        <v/>
      </c>
    </row>
    <row r="653" spans="1:15" x14ac:dyDescent="0.75">
      <c r="A653" s="24" t="str">
        <f>IF(N653="W",COUNTIF(N$9:N653,"W"),"")</f>
        <v/>
      </c>
      <c r="B653" s="25"/>
      <c r="C653" s="25"/>
      <c r="D653" s="26"/>
      <c r="E653" s="25"/>
      <c r="F653" s="27"/>
      <c r="G653" s="28"/>
      <c r="H653" s="28"/>
      <c r="I653" s="29" t="str">
        <f t="shared" si="30"/>
        <v/>
      </c>
      <c r="J653" s="30" t="str">
        <f t="shared" si="31"/>
        <v/>
      </c>
      <c r="K653" s="26"/>
      <c r="L653" s="24" t="str">
        <f>IF(N653="","",IF(N653="T","Título de capítulo",IF(OR(ISERROR(F653),ISERROR(G653),ISERROR(H653)),"Error en fórmula: pegá como valores",IF(AND(B653="",$C$6=""),"Falta sector",IF(M653="","Falta capítulo",IF(TRIM(E653)="","Falta unidad",IF(NOT((COUNTIF(Listas!$A$2:$A$40,E653)+COUNTIF(Listas!$D$2:$D$60,E653)&gt;0)),"Unidad no reconocida",IF(AND(F653&lt;&gt;"",NOT(ISNUMBER(F653))),"Cantidad no es número",IF(N(F653)&lt;=0,"Falta cantidad",IF(OR(AND(G653&lt;&gt;"",NOT(ISNUMBER(G653))),AND(H653&lt;&gt;"",NOT(ISNUMBER(H653)))),"Precio no es número",IF(N(G653)+N(H653)&lt;=0,"Falta precio","✓ OK")))))))))))</f>
        <v/>
      </c>
      <c r="M653" t="str">
        <f>IF(N653&lt;&gt;"W","",IF(TRIM(C653)&lt;&gt;"",TRIM(C653),IFERROR(LOOKUP(2,1/(N$9:N653="T"),D$9:D653),"")))</f>
        <v/>
      </c>
      <c r="N653" t="str">
        <f t="shared" si="32"/>
        <v/>
      </c>
      <c r="O653" t="str">
        <f>IF(M653="","",IF(COUNTIF(M$9:M653,M653)=1,MAX(O$8:O652)+1,""))</f>
        <v/>
      </c>
    </row>
    <row r="654" spans="1:15" x14ac:dyDescent="0.75">
      <c r="A654" s="24" t="str">
        <f>IF(N654="W",COUNTIF(N$9:N654,"W"),"")</f>
        <v/>
      </c>
      <c r="B654" s="25"/>
      <c r="C654" s="25"/>
      <c r="D654" s="26"/>
      <c r="E654" s="25"/>
      <c r="F654" s="27"/>
      <c r="G654" s="28"/>
      <c r="H654" s="28"/>
      <c r="I654" s="29" t="str">
        <f t="shared" si="30"/>
        <v/>
      </c>
      <c r="J654" s="30" t="str">
        <f t="shared" si="31"/>
        <v/>
      </c>
      <c r="K654" s="26"/>
      <c r="L654" s="24" t="str">
        <f>IF(N654="","",IF(N654="T","Título de capítulo",IF(OR(ISERROR(F654),ISERROR(G654),ISERROR(H654)),"Error en fórmula: pegá como valores",IF(AND(B654="",$C$6=""),"Falta sector",IF(M654="","Falta capítulo",IF(TRIM(E654)="","Falta unidad",IF(NOT((COUNTIF(Listas!$A$2:$A$40,E654)+COUNTIF(Listas!$D$2:$D$60,E654)&gt;0)),"Unidad no reconocida",IF(AND(F654&lt;&gt;"",NOT(ISNUMBER(F654))),"Cantidad no es número",IF(N(F654)&lt;=0,"Falta cantidad",IF(OR(AND(G654&lt;&gt;"",NOT(ISNUMBER(G654))),AND(H654&lt;&gt;"",NOT(ISNUMBER(H654)))),"Precio no es número",IF(N(G654)+N(H654)&lt;=0,"Falta precio","✓ OK")))))))))))</f>
        <v/>
      </c>
      <c r="M654" t="str">
        <f>IF(N654&lt;&gt;"W","",IF(TRIM(C654)&lt;&gt;"",TRIM(C654),IFERROR(LOOKUP(2,1/(N$9:N654="T"),D$9:D654),"")))</f>
        <v/>
      </c>
      <c r="N654" t="str">
        <f t="shared" si="32"/>
        <v/>
      </c>
      <c r="O654" t="str">
        <f>IF(M654="","",IF(COUNTIF(M$9:M654,M654)=1,MAX(O$8:O653)+1,""))</f>
        <v/>
      </c>
    </row>
    <row r="655" spans="1:15" x14ac:dyDescent="0.75">
      <c r="A655" s="24" t="str">
        <f>IF(N655="W",COUNTIF(N$9:N655,"W"),"")</f>
        <v/>
      </c>
      <c r="B655" s="25"/>
      <c r="C655" s="25"/>
      <c r="D655" s="26"/>
      <c r="E655" s="25"/>
      <c r="F655" s="27"/>
      <c r="G655" s="28"/>
      <c r="H655" s="28"/>
      <c r="I655" s="29" t="str">
        <f t="shared" si="30"/>
        <v/>
      </c>
      <c r="J655" s="30" t="str">
        <f t="shared" si="31"/>
        <v/>
      </c>
      <c r="K655" s="26"/>
      <c r="L655" s="24" t="str">
        <f>IF(N655="","",IF(N655="T","Título de capítulo",IF(OR(ISERROR(F655),ISERROR(G655),ISERROR(H655)),"Error en fórmula: pegá como valores",IF(AND(B655="",$C$6=""),"Falta sector",IF(M655="","Falta capítulo",IF(TRIM(E655)="","Falta unidad",IF(NOT((COUNTIF(Listas!$A$2:$A$40,E655)+COUNTIF(Listas!$D$2:$D$60,E655)&gt;0)),"Unidad no reconocida",IF(AND(F655&lt;&gt;"",NOT(ISNUMBER(F655))),"Cantidad no es número",IF(N(F655)&lt;=0,"Falta cantidad",IF(OR(AND(G655&lt;&gt;"",NOT(ISNUMBER(G655))),AND(H655&lt;&gt;"",NOT(ISNUMBER(H655)))),"Precio no es número",IF(N(G655)+N(H655)&lt;=0,"Falta precio","✓ OK")))))))))))</f>
        <v/>
      </c>
      <c r="M655" t="str">
        <f>IF(N655&lt;&gt;"W","",IF(TRIM(C655)&lt;&gt;"",TRIM(C655),IFERROR(LOOKUP(2,1/(N$9:N655="T"),D$9:D655),"")))</f>
        <v/>
      </c>
      <c r="N655" t="str">
        <f t="shared" si="32"/>
        <v/>
      </c>
      <c r="O655" t="str">
        <f>IF(M655="","",IF(COUNTIF(M$9:M655,M655)=1,MAX(O$8:O654)+1,""))</f>
        <v/>
      </c>
    </row>
    <row r="656" spans="1:15" x14ac:dyDescent="0.75">
      <c r="A656" s="24" t="str">
        <f>IF(N656="W",COUNTIF(N$9:N656,"W"),"")</f>
        <v/>
      </c>
      <c r="B656" s="25"/>
      <c r="C656" s="25"/>
      <c r="D656" s="26"/>
      <c r="E656" s="25"/>
      <c r="F656" s="27"/>
      <c r="G656" s="28"/>
      <c r="H656" s="28"/>
      <c r="I656" s="29" t="str">
        <f t="shared" si="30"/>
        <v/>
      </c>
      <c r="J656" s="30" t="str">
        <f t="shared" si="31"/>
        <v/>
      </c>
      <c r="K656" s="26"/>
      <c r="L656" s="24" t="str">
        <f>IF(N656="","",IF(N656="T","Título de capítulo",IF(OR(ISERROR(F656),ISERROR(G656),ISERROR(H656)),"Error en fórmula: pegá como valores",IF(AND(B656="",$C$6=""),"Falta sector",IF(M656="","Falta capítulo",IF(TRIM(E656)="","Falta unidad",IF(NOT((COUNTIF(Listas!$A$2:$A$40,E656)+COUNTIF(Listas!$D$2:$D$60,E656)&gt;0)),"Unidad no reconocida",IF(AND(F656&lt;&gt;"",NOT(ISNUMBER(F656))),"Cantidad no es número",IF(N(F656)&lt;=0,"Falta cantidad",IF(OR(AND(G656&lt;&gt;"",NOT(ISNUMBER(G656))),AND(H656&lt;&gt;"",NOT(ISNUMBER(H656)))),"Precio no es número",IF(N(G656)+N(H656)&lt;=0,"Falta precio","✓ OK")))))))))))</f>
        <v/>
      </c>
      <c r="M656" t="str">
        <f>IF(N656&lt;&gt;"W","",IF(TRIM(C656)&lt;&gt;"",TRIM(C656),IFERROR(LOOKUP(2,1/(N$9:N656="T"),D$9:D656),"")))</f>
        <v/>
      </c>
      <c r="N656" t="str">
        <f t="shared" si="32"/>
        <v/>
      </c>
      <c r="O656" t="str">
        <f>IF(M656="","",IF(COUNTIF(M$9:M656,M656)=1,MAX(O$8:O655)+1,""))</f>
        <v/>
      </c>
    </row>
    <row r="657" spans="1:15" x14ac:dyDescent="0.75">
      <c r="A657" s="24" t="str">
        <f>IF(N657="W",COUNTIF(N$9:N657,"W"),"")</f>
        <v/>
      </c>
      <c r="B657" s="25"/>
      <c r="C657" s="25"/>
      <c r="D657" s="26"/>
      <c r="E657" s="25"/>
      <c r="F657" s="27"/>
      <c r="G657" s="28"/>
      <c r="H657" s="28"/>
      <c r="I657" s="29" t="str">
        <f t="shared" si="30"/>
        <v/>
      </c>
      <c r="J657" s="30" t="str">
        <f t="shared" si="31"/>
        <v/>
      </c>
      <c r="K657" s="26"/>
      <c r="L657" s="24" t="str">
        <f>IF(N657="","",IF(N657="T","Título de capítulo",IF(OR(ISERROR(F657),ISERROR(G657),ISERROR(H657)),"Error en fórmula: pegá como valores",IF(AND(B657="",$C$6=""),"Falta sector",IF(M657="","Falta capítulo",IF(TRIM(E657)="","Falta unidad",IF(NOT((COUNTIF(Listas!$A$2:$A$40,E657)+COUNTIF(Listas!$D$2:$D$60,E657)&gt;0)),"Unidad no reconocida",IF(AND(F657&lt;&gt;"",NOT(ISNUMBER(F657))),"Cantidad no es número",IF(N(F657)&lt;=0,"Falta cantidad",IF(OR(AND(G657&lt;&gt;"",NOT(ISNUMBER(G657))),AND(H657&lt;&gt;"",NOT(ISNUMBER(H657)))),"Precio no es número",IF(N(G657)+N(H657)&lt;=0,"Falta precio","✓ OK")))))))))))</f>
        <v/>
      </c>
      <c r="M657" t="str">
        <f>IF(N657&lt;&gt;"W","",IF(TRIM(C657)&lt;&gt;"",TRIM(C657),IFERROR(LOOKUP(2,1/(N$9:N657="T"),D$9:D657),"")))</f>
        <v/>
      </c>
      <c r="N657" t="str">
        <f t="shared" si="32"/>
        <v/>
      </c>
      <c r="O657" t="str">
        <f>IF(M657="","",IF(COUNTIF(M$9:M657,M657)=1,MAX(O$8:O656)+1,""))</f>
        <v/>
      </c>
    </row>
    <row r="658" spans="1:15" x14ac:dyDescent="0.75">
      <c r="A658" s="24" t="str">
        <f>IF(N658="W",COUNTIF(N$9:N658,"W"),"")</f>
        <v/>
      </c>
      <c r="B658" s="25"/>
      <c r="C658" s="25"/>
      <c r="D658" s="26"/>
      <c r="E658" s="25"/>
      <c r="F658" s="27"/>
      <c r="G658" s="28"/>
      <c r="H658" s="28"/>
      <c r="I658" s="29" t="str">
        <f t="shared" si="30"/>
        <v/>
      </c>
      <c r="J658" s="30" t="str">
        <f t="shared" si="31"/>
        <v/>
      </c>
      <c r="K658" s="26"/>
      <c r="L658" s="24" t="str">
        <f>IF(N658="","",IF(N658="T","Título de capítulo",IF(OR(ISERROR(F658),ISERROR(G658),ISERROR(H658)),"Error en fórmula: pegá como valores",IF(AND(B658="",$C$6=""),"Falta sector",IF(M658="","Falta capítulo",IF(TRIM(E658)="","Falta unidad",IF(NOT((COUNTIF(Listas!$A$2:$A$40,E658)+COUNTIF(Listas!$D$2:$D$60,E658)&gt;0)),"Unidad no reconocida",IF(AND(F658&lt;&gt;"",NOT(ISNUMBER(F658))),"Cantidad no es número",IF(N(F658)&lt;=0,"Falta cantidad",IF(OR(AND(G658&lt;&gt;"",NOT(ISNUMBER(G658))),AND(H658&lt;&gt;"",NOT(ISNUMBER(H658)))),"Precio no es número",IF(N(G658)+N(H658)&lt;=0,"Falta precio","✓ OK")))))))))))</f>
        <v/>
      </c>
      <c r="M658" t="str">
        <f>IF(N658&lt;&gt;"W","",IF(TRIM(C658)&lt;&gt;"",TRIM(C658),IFERROR(LOOKUP(2,1/(N$9:N658="T"),D$9:D658),"")))</f>
        <v/>
      </c>
      <c r="N658" t="str">
        <f t="shared" si="32"/>
        <v/>
      </c>
      <c r="O658" t="str">
        <f>IF(M658="","",IF(COUNTIF(M$9:M658,M658)=1,MAX(O$8:O657)+1,""))</f>
        <v/>
      </c>
    </row>
    <row r="659" spans="1:15" x14ac:dyDescent="0.75">
      <c r="A659" s="24" t="str">
        <f>IF(N659="W",COUNTIF(N$9:N659,"W"),"")</f>
        <v/>
      </c>
      <c r="B659" s="25"/>
      <c r="C659" s="25"/>
      <c r="D659" s="26"/>
      <c r="E659" s="25"/>
      <c r="F659" s="27"/>
      <c r="G659" s="28"/>
      <c r="H659" s="28"/>
      <c r="I659" s="29" t="str">
        <f t="shared" si="30"/>
        <v/>
      </c>
      <c r="J659" s="30" t="str">
        <f t="shared" si="31"/>
        <v/>
      </c>
      <c r="K659" s="26"/>
      <c r="L659" s="24" t="str">
        <f>IF(N659="","",IF(N659="T","Título de capítulo",IF(OR(ISERROR(F659),ISERROR(G659),ISERROR(H659)),"Error en fórmula: pegá como valores",IF(AND(B659="",$C$6=""),"Falta sector",IF(M659="","Falta capítulo",IF(TRIM(E659)="","Falta unidad",IF(NOT((COUNTIF(Listas!$A$2:$A$40,E659)+COUNTIF(Listas!$D$2:$D$60,E659)&gt;0)),"Unidad no reconocida",IF(AND(F659&lt;&gt;"",NOT(ISNUMBER(F659))),"Cantidad no es número",IF(N(F659)&lt;=0,"Falta cantidad",IF(OR(AND(G659&lt;&gt;"",NOT(ISNUMBER(G659))),AND(H659&lt;&gt;"",NOT(ISNUMBER(H659)))),"Precio no es número",IF(N(G659)+N(H659)&lt;=0,"Falta precio","✓ OK")))))))))))</f>
        <v/>
      </c>
      <c r="M659" t="str">
        <f>IF(N659&lt;&gt;"W","",IF(TRIM(C659)&lt;&gt;"",TRIM(C659),IFERROR(LOOKUP(2,1/(N$9:N659="T"),D$9:D659),"")))</f>
        <v/>
      </c>
      <c r="N659" t="str">
        <f t="shared" si="32"/>
        <v/>
      </c>
      <c r="O659" t="str">
        <f>IF(M659="","",IF(COUNTIF(M$9:M659,M659)=1,MAX(O$8:O658)+1,""))</f>
        <v/>
      </c>
    </row>
    <row r="660" spans="1:15" x14ac:dyDescent="0.75">
      <c r="A660" s="24" t="str">
        <f>IF(N660="W",COUNTIF(N$9:N660,"W"),"")</f>
        <v/>
      </c>
      <c r="B660" s="25"/>
      <c r="C660" s="25"/>
      <c r="D660" s="26"/>
      <c r="E660" s="25"/>
      <c r="F660" s="27"/>
      <c r="G660" s="28"/>
      <c r="H660" s="28"/>
      <c r="I660" s="29" t="str">
        <f t="shared" si="30"/>
        <v/>
      </c>
      <c r="J660" s="30" t="str">
        <f t="shared" si="31"/>
        <v/>
      </c>
      <c r="K660" s="26"/>
      <c r="L660" s="24" t="str">
        <f>IF(N660="","",IF(N660="T","Título de capítulo",IF(OR(ISERROR(F660),ISERROR(G660),ISERROR(H660)),"Error en fórmula: pegá como valores",IF(AND(B660="",$C$6=""),"Falta sector",IF(M660="","Falta capítulo",IF(TRIM(E660)="","Falta unidad",IF(NOT((COUNTIF(Listas!$A$2:$A$40,E660)+COUNTIF(Listas!$D$2:$D$60,E660)&gt;0)),"Unidad no reconocida",IF(AND(F660&lt;&gt;"",NOT(ISNUMBER(F660))),"Cantidad no es número",IF(N(F660)&lt;=0,"Falta cantidad",IF(OR(AND(G660&lt;&gt;"",NOT(ISNUMBER(G660))),AND(H660&lt;&gt;"",NOT(ISNUMBER(H660)))),"Precio no es número",IF(N(G660)+N(H660)&lt;=0,"Falta precio","✓ OK")))))))))))</f>
        <v/>
      </c>
      <c r="M660" t="str">
        <f>IF(N660&lt;&gt;"W","",IF(TRIM(C660)&lt;&gt;"",TRIM(C660),IFERROR(LOOKUP(2,1/(N$9:N660="T"),D$9:D660),"")))</f>
        <v/>
      </c>
      <c r="N660" t="str">
        <f t="shared" si="32"/>
        <v/>
      </c>
      <c r="O660" t="str">
        <f>IF(M660="","",IF(COUNTIF(M$9:M660,M660)=1,MAX(O$8:O659)+1,""))</f>
        <v/>
      </c>
    </row>
    <row r="661" spans="1:15" x14ac:dyDescent="0.75">
      <c r="A661" s="24" t="str">
        <f>IF(N661="W",COUNTIF(N$9:N661,"W"),"")</f>
        <v/>
      </c>
      <c r="B661" s="25"/>
      <c r="C661" s="25"/>
      <c r="D661" s="26"/>
      <c r="E661" s="25"/>
      <c r="F661" s="27"/>
      <c r="G661" s="28"/>
      <c r="H661" s="28"/>
      <c r="I661" s="29" t="str">
        <f t="shared" si="30"/>
        <v/>
      </c>
      <c r="J661" s="30" t="str">
        <f t="shared" si="31"/>
        <v/>
      </c>
      <c r="K661" s="26"/>
      <c r="L661" s="24" t="str">
        <f>IF(N661="","",IF(N661="T","Título de capítulo",IF(OR(ISERROR(F661),ISERROR(G661),ISERROR(H661)),"Error en fórmula: pegá como valores",IF(AND(B661="",$C$6=""),"Falta sector",IF(M661="","Falta capítulo",IF(TRIM(E661)="","Falta unidad",IF(NOT((COUNTIF(Listas!$A$2:$A$40,E661)+COUNTIF(Listas!$D$2:$D$60,E661)&gt;0)),"Unidad no reconocida",IF(AND(F661&lt;&gt;"",NOT(ISNUMBER(F661))),"Cantidad no es número",IF(N(F661)&lt;=0,"Falta cantidad",IF(OR(AND(G661&lt;&gt;"",NOT(ISNUMBER(G661))),AND(H661&lt;&gt;"",NOT(ISNUMBER(H661)))),"Precio no es número",IF(N(G661)+N(H661)&lt;=0,"Falta precio","✓ OK")))))))))))</f>
        <v/>
      </c>
      <c r="M661" t="str">
        <f>IF(N661&lt;&gt;"W","",IF(TRIM(C661)&lt;&gt;"",TRIM(C661),IFERROR(LOOKUP(2,1/(N$9:N661="T"),D$9:D661),"")))</f>
        <v/>
      </c>
      <c r="N661" t="str">
        <f t="shared" si="32"/>
        <v/>
      </c>
      <c r="O661" t="str">
        <f>IF(M661="","",IF(COUNTIF(M$9:M661,M661)=1,MAX(O$8:O660)+1,""))</f>
        <v/>
      </c>
    </row>
    <row r="662" spans="1:15" x14ac:dyDescent="0.75">
      <c r="A662" s="24" t="str">
        <f>IF(N662="W",COUNTIF(N$9:N662,"W"),"")</f>
        <v/>
      </c>
      <c r="B662" s="25"/>
      <c r="C662" s="25"/>
      <c r="D662" s="26"/>
      <c r="E662" s="25"/>
      <c r="F662" s="27"/>
      <c r="G662" s="28"/>
      <c r="H662" s="28"/>
      <c r="I662" s="29" t="str">
        <f t="shared" si="30"/>
        <v/>
      </c>
      <c r="J662" s="30" t="str">
        <f t="shared" si="31"/>
        <v/>
      </c>
      <c r="K662" s="26"/>
      <c r="L662" s="24" t="str">
        <f>IF(N662="","",IF(N662="T","Título de capítulo",IF(OR(ISERROR(F662),ISERROR(G662),ISERROR(H662)),"Error en fórmula: pegá como valores",IF(AND(B662="",$C$6=""),"Falta sector",IF(M662="","Falta capítulo",IF(TRIM(E662)="","Falta unidad",IF(NOT((COUNTIF(Listas!$A$2:$A$40,E662)+COUNTIF(Listas!$D$2:$D$60,E662)&gt;0)),"Unidad no reconocida",IF(AND(F662&lt;&gt;"",NOT(ISNUMBER(F662))),"Cantidad no es número",IF(N(F662)&lt;=0,"Falta cantidad",IF(OR(AND(G662&lt;&gt;"",NOT(ISNUMBER(G662))),AND(H662&lt;&gt;"",NOT(ISNUMBER(H662)))),"Precio no es número",IF(N(G662)+N(H662)&lt;=0,"Falta precio","✓ OK")))))))))))</f>
        <v/>
      </c>
      <c r="M662" t="str">
        <f>IF(N662&lt;&gt;"W","",IF(TRIM(C662)&lt;&gt;"",TRIM(C662),IFERROR(LOOKUP(2,1/(N$9:N662="T"),D$9:D662),"")))</f>
        <v/>
      </c>
      <c r="N662" t="str">
        <f t="shared" si="32"/>
        <v/>
      </c>
      <c r="O662" t="str">
        <f>IF(M662="","",IF(COUNTIF(M$9:M662,M662)=1,MAX(O$8:O661)+1,""))</f>
        <v/>
      </c>
    </row>
    <row r="663" spans="1:15" x14ac:dyDescent="0.75">
      <c r="A663" s="24" t="str">
        <f>IF(N663="W",COUNTIF(N$9:N663,"W"),"")</f>
        <v/>
      </c>
      <c r="B663" s="25"/>
      <c r="C663" s="25"/>
      <c r="D663" s="26"/>
      <c r="E663" s="25"/>
      <c r="F663" s="27"/>
      <c r="G663" s="28"/>
      <c r="H663" s="28"/>
      <c r="I663" s="29" t="str">
        <f t="shared" si="30"/>
        <v/>
      </c>
      <c r="J663" s="30" t="str">
        <f t="shared" si="31"/>
        <v/>
      </c>
      <c r="K663" s="26"/>
      <c r="L663" s="24" t="str">
        <f>IF(N663="","",IF(N663="T","Título de capítulo",IF(OR(ISERROR(F663),ISERROR(G663),ISERROR(H663)),"Error en fórmula: pegá como valores",IF(AND(B663="",$C$6=""),"Falta sector",IF(M663="","Falta capítulo",IF(TRIM(E663)="","Falta unidad",IF(NOT((COUNTIF(Listas!$A$2:$A$40,E663)+COUNTIF(Listas!$D$2:$D$60,E663)&gt;0)),"Unidad no reconocida",IF(AND(F663&lt;&gt;"",NOT(ISNUMBER(F663))),"Cantidad no es número",IF(N(F663)&lt;=0,"Falta cantidad",IF(OR(AND(G663&lt;&gt;"",NOT(ISNUMBER(G663))),AND(H663&lt;&gt;"",NOT(ISNUMBER(H663)))),"Precio no es número",IF(N(G663)+N(H663)&lt;=0,"Falta precio","✓ OK")))))))))))</f>
        <v/>
      </c>
      <c r="M663" t="str">
        <f>IF(N663&lt;&gt;"W","",IF(TRIM(C663)&lt;&gt;"",TRIM(C663),IFERROR(LOOKUP(2,1/(N$9:N663="T"),D$9:D663),"")))</f>
        <v/>
      </c>
      <c r="N663" t="str">
        <f t="shared" si="32"/>
        <v/>
      </c>
      <c r="O663" t="str">
        <f>IF(M663="","",IF(COUNTIF(M$9:M663,M663)=1,MAX(O$8:O662)+1,""))</f>
        <v/>
      </c>
    </row>
    <row r="664" spans="1:15" x14ac:dyDescent="0.75">
      <c r="A664" s="24" t="str">
        <f>IF(N664="W",COUNTIF(N$9:N664,"W"),"")</f>
        <v/>
      </c>
      <c r="B664" s="25"/>
      <c r="C664" s="25"/>
      <c r="D664" s="26"/>
      <c r="E664" s="25"/>
      <c r="F664" s="27"/>
      <c r="G664" s="28"/>
      <c r="H664" s="28"/>
      <c r="I664" s="29" t="str">
        <f t="shared" si="30"/>
        <v/>
      </c>
      <c r="J664" s="30" t="str">
        <f t="shared" si="31"/>
        <v/>
      </c>
      <c r="K664" s="26"/>
      <c r="L664" s="24" t="str">
        <f>IF(N664="","",IF(N664="T","Título de capítulo",IF(OR(ISERROR(F664),ISERROR(G664),ISERROR(H664)),"Error en fórmula: pegá como valores",IF(AND(B664="",$C$6=""),"Falta sector",IF(M664="","Falta capítulo",IF(TRIM(E664)="","Falta unidad",IF(NOT((COUNTIF(Listas!$A$2:$A$40,E664)+COUNTIF(Listas!$D$2:$D$60,E664)&gt;0)),"Unidad no reconocida",IF(AND(F664&lt;&gt;"",NOT(ISNUMBER(F664))),"Cantidad no es número",IF(N(F664)&lt;=0,"Falta cantidad",IF(OR(AND(G664&lt;&gt;"",NOT(ISNUMBER(G664))),AND(H664&lt;&gt;"",NOT(ISNUMBER(H664)))),"Precio no es número",IF(N(G664)+N(H664)&lt;=0,"Falta precio","✓ OK")))))))))))</f>
        <v/>
      </c>
      <c r="M664" t="str">
        <f>IF(N664&lt;&gt;"W","",IF(TRIM(C664)&lt;&gt;"",TRIM(C664),IFERROR(LOOKUP(2,1/(N$9:N664="T"),D$9:D664),"")))</f>
        <v/>
      </c>
      <c r="N664" t="str">
        <f t="shared" si="32"/>
        <v/>
      </c>
      <c r="O664" t="str">
        <f>IF(M664="","",IF(COUNTIF(M$9:M664,M664)=1,MAX(O$8:O663)+1,""))</f>
        <v/>
      </c>
    </row>
    <row r="665" spans="1:15" x14ac:dyDescent="0.75">
      <c r="A665" s="24" t="str">
        <f>IF(N665="W",COUNTIF(N$9:N665,"W"),"")</f>
        <v/>
      </c>
      <c r="B665" s="25"/>
      <c r="C665" s="25"/>
      <c r="D665" s="26"/>
      <c r="E665" s="25"/>
      <c r="F665" s="27"/>
      <c r="G665" s="28"/>
      <c r="H665" s="28"/>
      <c r="I665" s="29" t="str">
        <f t="shared" si="30"/>
        <v/>
      </c>
      <c r="J665" s="30" t="str">
        <f t="shared" si="31"/>
        <v/>
      </c>
      <c r="K665" s="26"/>
      <c r="L665" s="24" t="str">
        <f>IF(N665="","",IF(N665="T","Título de capítulo",IF(OR(ISERROR(F665),ISERROR(G665),ISERROR(H665)),"Error en fórmula: pegá como valores",IF(AND(B665="",$C$6=""),"Falta sector",IF(M665="","Falta capítulo",IF(TRIM(E665)="","Falta unidad",IF(NOT((COUNTIF(Listas!$A$2:$A$40,E665)+COUNTIF(Listas!$D$2:$D$60,E665)&gt;0)),"Unidad no reconocida",IF(AND(F665&lt;&gt;"",NOT(ISNUMBER(F665))),"Cantidad no es número",IF(N(F665)&lt;=0,"Falta cantidad",IF(OR(AND(G665&lt;&gt;"",NOT(ISNUMBER(G665))),AND(H665&lt;&gt;"",NOT(ISNUMBER(H665)))),"Precio no es número",IF(N(G665)+N(H665)&lt;=0,"Falta precio","✓ OK")))))))))))</f>
        <v/>
      </c>
      <c r="M665" t="str">
        <f>IF(N665&lt;&gt;"W","",IF(TRIM(C665)&lt;&gt;"",TRIM(C665),IFERROR(LOOKUP(2,1/(N$9:N665="T"),D$9:D665),"")))</f>
        <v/>
      </c>
      <c r="N665" t="str">
        <f t="shared" si="32"/>
        <v/>
      </c>
      <c r="O665" t="str">
        <f>IF(M665="","",IF(COUNTIF(M$9:M665,M665)=1,MAX(O$8:O664)+1,""))</f>
        <v/>
      </c>
    </row>
    <row r="666" spans="1:15" x14ac:dyDescent="0.75">
      <c r="A666" s="24" t="str">
        <f>IF(N666="W",COUNTIF(N$9:N666,"W"),"")</f>
        <v/>
      </c>
      <c r="B666" s="25"/>
      <c r="C666" s="25"/>
      <c r="D666" s="26"/>
      <c r="E666" s="25"/>
      <c r="F666" s="27"/>
      <c r="G666" s="28"/>
      <c r="H666" s="28"/>
      <c r="I666" s="29" t="str">
        <f t="shared" si="30"/>
        <v/>
      </c>
      <c r="J666" s="30" t="str">
        <f t="shared" si="31"/>
        <v/>
      </c>
      <c r="K666" s="26"/>
      <c r="L666" s="24" t="str">
        <f>IF(N666="","",IF(N666="T","Título de capítulo",IF(OR(ISERROR(F666),ISERROR(G666),ISERROR(H666)),"Error en fórmula: pegá como valores",IF(AND(B666="",$C$6=""),"Falta sector",IF(M666="","Falta capítulo",IF(TRIM(E666)="","Falta unidad",IF(NOT((COUNTIF(Listas!$A$2:$A$40,E666)+COUNTIF(Listas!$D$2:$D$60,E666)&gt;0)),"Unidad no reconocida",IF(AND(F666&lt;&gt;"",NOT(ISNUMBER(F666))),"Cantidad no es número",IF(N(F666)&lt;=0,"Falta cantidad",IF(OR(AND(G666&lt;&gt;"",NOT(ISNUMBER(G666))),AND(H666&lt;&gt;"",NOT(ISNUMBER(H666)))),"Precio no es número",IF(N(G666)+N(H666)&lt;=0,"Falta precio","✓ OK")))))))))))</f>
        <v/>
      </c>
      <c r="M666" t="str">
        <f>IF(N666&lt;&gt;"W","",IF(TRIM(C666)&lt;&gt;"",TRIM(C666),IFERROR(LOOKUP(2,1/(N$9:N666="T"),D$9:D666),"")))</f>
        <v/>
      </c>
      <c r="N666" t="str">
        <f t="shared" si="32"/>
        <v/>
      </c>
      <c r="O666" t="str">
        <f>IF(M666="","",IF(COUNTIF(M$9:M666,M666)=1,MAX(O$8:O665)+1,""))</f>
        <v/>
      </c>
    </row>
    <row r="667" spans="1:15" x14ac:dyDescent="0.75">
      <c r="A667" s="24" t="str">
        <f>IF(N667="W",COUNTIF(N$9:N667,"W"),"")</f>
        <v/>
      </c>
      <c r="B667" s="25"/>
      <c r="C667" s="25"/>
      <c r="D667" s="26"/>
      <c r="E667" s="25"/>
      <c r="F667" s="27"/>
      <c r="G667" s="28"/>
      <c r="H667" s="28"/>
      <c r="I667" s="29" t="str">
        <f t="shared" si="30"/>
        <v/>
      </c>
      <c r="J667" s="30" t="str">
        <f t="shared" si="31"/>
        <v/>
      </c>
      <c r="K667" s="26"/>
      <c r="L667" s="24" t="str">
        <f>IF(N667="","",IF(N667="T","Título de capítulo",IF(OR(ISERROR(F667),ISERROR(G667),ISERROR(H667)),"Error en fórmula: pegá como valores",IF(AND(B667="",$C$6=""),"Falta sector",IF(M667="","Falta capítulo",IF(TRIM(E667)="","Falta unidad",IF(NOT((COUNTIF(Listas!$A$2:$A$40,E667)+COUNTIF(Listas!$D$2:$D$60,E667)&gt;0)),"Unidad no reconocida",IF(AND(F667&lt;&gt;"",NOT(ISNUMBER(F667))),"Cantidad no es número",IF(N(F667)&lt;=0,"Falta cantidad",IF(OR(AND(G667&lt;&gt;"",NOT(ISNUMBER(G667))),AND(H667&lt;&gt;"",NOT(ISNUMBER(H667)))),"Precio no es número",IF(N(G667)+N(H667)&lt;=0,"Falta precio","✓ OK")))))))))))</f>
        <v/>
      </c>
      <c r="M667" t="str">
        <f>IF(N667&lt;&gt;"W","",IF(TRIM(C667)&lt;&gt;"",TRIM(C667),IFERROR(LOOKUP(2,1/(N$9:N667="T"),D$9:D667),"")))</f>
        <v/>
      </c>
      <c r="N667" t="str">
        <f t="shared" si="32"/>
        <v/>
      </c>
      <c r="O667" t="str">
        <f>IF(M667="","",IF(COUNTIF(M$9:M667,M667)=1,MAX(O$8:O666)+1,""))</f>
        <v/>
      </c>
    </row>
    <row r="668" spans="1:15" x14ac:dyDescent="0.75">
      <c r="A668" s="24" t="str">
        <f>IF(N668="W",COUNTIF(N$9:N668,"W"),"")</f>
        <v/>
      </c>
      <c r="B668" s="25"/>
      <c r="C668" s="25"/>
      <c r="D668" s="26"/>
      <c r="E668" s="25"/>
      <c r="F668" s="27"/>
      <c r="G668" s="28"/>
      <c r="H668" s="28"/>
      <c r="I668" s="29" t="str">
        <f t="shared" si="30"/>
        <v/>
      </c>
      <c r="J668" s="30" t="str">
        <f t="shared" si="31"/>
        <v/>
      </c>
      <c r="K668" s="26"/>
      <c r="L668" s="24" t="str">
        <f>IF(N668="","",IF(N668="T","Título de capítulo",IF(OR(ISERROR(F668),ISERROR(G668),ISERROR(H668)),"Error en fórmula: pegá como valores",IF(AND(B668="",$C$6=""),"Falta sector",IF(M668="","Falta capítulo",IF(TRIM(E668)="","Falta unidad",IF(NOT((COUNTIF(Listas!$A$2:$A$40,E668)+COUNTIF(Listas!$D$2:$D$60,E668)&gt;0)),"Unidad no reconocida",IF(AND(F668&lt;&gt;"",NOT(ISNUMBER(F668))),"Cantidad no es número",IF(N(F668)&lt;=0,"Falta cantidad",IF(OR(AND(G668&lt;&gt;"",NOT(ISNUMBER(G668))),AND(H668&lt;&gt;"",NOT(ISNUMBER(H668)))),"Precio no es número",IF(N(G668)+N(H668)&lt;=0,"Falta precio","✓ OK")))))))))))</f>
        <v/>
      </c>
      <c r="M668" t="str">
        <f>IF(N668&lt;&gt;"W","",IF(TRIM(C668)&lt;&gt;"",TRIM(C668),IFERROR(LOOKUP(2,1/(N$9:N668="T"),D$9:D668),"")))</f>
        <v/>
      </c>
      <c r="N668" t="str">
        <f t="shared" si="32"/>
        <v/>
      </c>
      <c r="O668" t="str">
        <f>IF(M668="","",IF(COUNTIF(M$9:M668,M668)=1,MAX(O$8:O667)+1,""))</f>
        <v/>
      </c>
    </row>
    <row r="669" spans="1:15" x14ac:dyDescent="0.75">
      <c r="A669" s="24" t="str">
        <f>IF(N669="W",COUNTIF(N$9:N669,"W"),"")</f>
        <v/>
      </c>
      <c r="B669" s="25"/>
      <c r="C669" s="25"/>
      <c r="D669" s="26"/>
      <c r="E669" s="25"/>
      <c r="F669" s="27"/>
      <c r="G669" s="28"/>
      <c r="H669" s="28"/>
      <c r="I669" s="29" t="str">
        <f t="shared" si="30"/>
        <v/>
      </c>
      <c r="J669" s="30" t="str">
        <f t="shared" si="31"/>
        <v/>
      </c>
      <c r="K669" s="26"/>
      <c r="L669" s="24" t="str">
        <f>IF(N669="","",IF(N669="T","Título de capítulo",IF(OR(ISERROR(F669),ISERROR(G669),ISERROR(H669)),"Error en fórmula: pegá como valores",IF(AND(B669="",$C$6=""),"Falta sector",IF(M669="","Falta capítulo",IF(TRIM(E669)="","Falta unidad",IF(NOT((COUNTIF(Listas!$A$2:$A$40,E669)+COUNTIF(Listas!$D$2:$D$60,E669)&gt;0)),"Unidad no reconocida",IF(AND(F669&lt;&gt;"",NOT(ISNUMBER(F669))),"Cantidad no es número",IF(N(F669)&lt;=0,"Falta cantidad",IF(OR(AND(G669&lt;&gt;"",NOT(ISNUMBER(G669))),AND(H669&lt;&gt;"",NOT(ISNUMBER(H669)))),"Precio no es número",IF(N(G669)+N(H669)&lt;=0,"Falta precio","✓ OK")))))))))))</f>
        <v/>
      </c>
      <c r="M669" t="str">
        <f>IF(N669&lt;&gt;"W","",IF(TRIM(C669)&lt;&gt;"",TRIM(C669),IFERROR(LOOKUP(2,1/(N$9:N669="T"),D$9:D669),"")))</f>
        <v/>
      </c>
      <c r="N669" t="str">
        <f t="shared" si="32"/>
        <v/>
      </c>
      <c r="O669" t="str">
        <f>IF(M669="","",IF(COUNTIF(M$9:M669,M669)=1,MAX(O$8:O668)+1,""))</f>
        <v/>
      </c>
    </row>
    <row r="670" spans="1:15" x14ac:dyDescent="0.75">
      <c r="A670" s="24" t="str">
        <f>IF(N670="W",COUNTIF(N$9:N670,"W"),"")</f>
        <v/>
      </c>
      <c r="B670" s="25"/>
      <c r="C670" s="25"/>
      <c r="D670" s="26"/>
      <c r="E670" s="25"/>
      <c r="F670" s="27"/>
      <c r="G670" s="28"/>
      <c r="H670" s="28"/>
      <c r="I670" s="29" t="str">
        <f t="shared" si="30"/>
        <v/>
      </c>
      <c r="J670" s="30" t="str">
        <f t="shared" si="31"/>
        <v/>
      </c>
      <c r="K670" s="26"/>
      <c r="L670" s="24" t="str">
        <f>IF(N670="","",IF(N670="T","Título de capítulo",IF(OR(ISERROR(F670),ISERROR(G670),ISERROR(H670)),"Error en fórmula: pegá como valores",IF(AND(B670="",$C$6=""),"Falta sector",IF(M670="","Falta capítulo",IF(TRIM(E670)="","Falta unidad",IF(NOT((COUNTIF(Listas!$A$2:$A$40,E670)+COUNTIF(Listas!$D$2:$D$60,E670)&gt;0)),"Unidad no reconocida",IF(AND(F670&lt;&gt;"",NOT(ISNUMBER(F670))),"Cantidad no es número",IF(N(F670)&lt;=0,"Falta cantidad",IF(OR(AND(G670&lt;&gt;"",NOT(ISNUMBER(G670))),AND(H670&lt;&gt;"",NOT(ISNUMBER(H670)))),"Precio no es número",IF(N(G670)+N(H670)&lt;=0,"Falta precio","✓ OK")))))))))))</f>
        <v/>
      </c>
      <c r="M670" t="str">
        <f>IF(N670&lt;&gt;"W","",IF(TRIM(C670)&lt;&gt;"",TRIM(C670),IFERROR(LOOKUP(2,1/(N$9:N670="T"),D$9:D670),"")))</f>
        <v/>
      </c>
      <c r="N670" t="str">
        <f t="shared" si="32"/>
        <v/>
      </c>
      <c r="O670" t="str">
        <f>IF(M670="","",IF(COUNTIF(M$9:M670,M670)=1,MAX(O$8:O669)+1,""))</f>
        <v/>
      </c>
    </row>
    <row r="671" spans="1:15" x14ac:dyDescent="0.75">
      <c r="A671" s="24" t="str">
        <f>IF(N671="W",COUNTIF(N$9:N671,"W"),"")</f>
        <v/>
      </c>
      <c r="B671" s="25"/>
      <c r="C671" s="25"/>
      <c r="D671" s="26"/>
      <c r="E671" s="25"/>
      <c r="F671" s="27"/>
      <c r="G671" s="28"/>
      <c r="H671" s="28"/>
      <c r="I671" s="29" t="str">
        <f t="shared" si="30"/>
        <v/>
      </c>
      <c r="J671" s="30" t="str">
        <f t="shared" si="31"/>
        <v/>
      </c>
      <c r="K671" s="26"/>
      <c r="L671" s="24" t="str">
        <f>IF(N671="","",IF(N671="T","Título de capítulo",IF(OR(ISERROR(F671),ISERROR(G671),ISERROR(H671)),"Error en fórmula: pegá como valores",IF(AND(B671="",$C$6=""),"Falta sector",IF(M671="","Falta capítulo",IF(TRIM(E671)="","Falta unidad",IF(NOT((COUNTIF(Listas!$A$2:$A$40,E671)+COUNTIF(Listas!$D$2:$D$60,E671)&gt;0)),"Unidad no reconocida",IF(AND(F671&lt;&gt;"",NOT(ISNUMBER(F671))),"Cantidad no es número",IF(N(F671)&lt;=0,"Falta cantidad",IF(OR(AND(G671&lt;&gt;"",NOT(ISNUMBER(G671))),AND(H671&lt;&gt;"",NOT(ISNUMBER(H671)))),"Precio no es número",IF(N(G671)+N(H671)&lt;=0,"Falta precio","✓ OK")))))))))))</f>
        <v/>
      </c>
      <c r="M671" t="str">
        <f>IF(N671&lt;&gt;"W","",IF(TRIM(C671)&lt;&gt;"",TRIM(C671),IFERROR(LOOKUP(2,1/(N$9:N671="T"),D$9:D671),"")))</f>
        <v/>
      </c>
      <c r="N671" t="str">
        <f t="shared" si="32"/>
        <v/>
      </c>
      <c r="O671" t="str">
        <f>IF(M671="","",IF(COUNTIF(M$9:M671,M671)=1,MAX(O$8:O670)+1,""))</f>
        <v/>
      </c>
    </row>
    <row r="672" spans="1:15" x14ac:dyDescent="0.75">
      <c r="A672" s="24" t="str">
        <f>IF(N672="W",COUNTIF(N$9:N672,"W"),"")</f>
        <v/>
      </c>
      <c r="B672" s="25"/>
      <c r="C672" s="25"/>
      <c r="D672" s="26"/>
      <c r="E672" s="25"/>
      <c r="F672" s="27"/>
      <c r="G672" s="28"/>
      <c r="H672" s="28"/>
      <c r="I672" s="29" t="str">
        <f t="shared" si="30"/>
        <v/>
      </c>
      <c r="J672" s="30" t="str">
        <f t="shared" si="31"/>
        <v/>
      </c>
      <c r="K672" s="26"/>
      <c r="L672" s="24" t="str">
        <f>IF(N672="","",IF(N672="T","Título de capítulo",IF(OR(ISERROR(F672),ISERROR(G672),ISERROR(H672)),"Error en fórmula: pegá como valores",IF(AND(B672="",$C$6=""),"Falta sector",IF(M672="","Falta capítulo",IF(TRIM(E672)="","Falta unidad",IF(NOT((COUNTIF(Listas!$A$2:$A$40,E672)+COUNTIF(Listas!$D$2:$D$60,E672)&gt;0)),"Unidad no reconocida",IF(AND(F672&lt;&gt;"",NOT(ISNUMBER(F672))),"Cantidad no es número",IF(N(F672)&lt;=0,"Falta cantidad",IF(OR(AND(G672&lt;&gt;"",NOT(ISNUMBER(G672))),AND(H672&lt;&gt;"",NOT(ISNUMBER(H672)))),"Precio no es número",IF(N(G672)+N(H672)&lt;=0,"Falta precio","✓ OK")))))))))))</f>
        <v/>
      </c>
      <c r="M672" t="str">
        <f>IF(N672&lt;&gt;"W","",IF(TRIM(C672)&lt;&gt;"",TRIM(C672),IFERROR(LOOKUP(2,1/(N$9:N672="T"),D$9:D672),"")))</f>
        <v/>
      </c>
      <c r="N672" t="str">
        <f t="shared" si="32"/>
        <v/>
      </c>
      <c r="O672" t="str">
        <f>IF(M672="","",IF(COUNTIF(M$9:M672,M672)=1,MAX(O$8:O671)+1,""))</f>
        <v/>
      </c>
    </row>
    <row r="673" spans="1:15" x14ac:dyDescent="0.75">
      <c r="A673" s="24" t="str">
        <f>IF(N673="W",COUNTIF(N$9:N673,"W"),"")</f>
        <v/>
      </c>
      <c r="B673" s="25"/>
      <c r="C673" s="25"/>
      <c r="D673" s="26"/>
      <c r="E673" s="25"/>
      <c r="F673" s="27"/>
      <c r="G673" s="28"/>
      <c r="H673" s="28"/>
      <c r="I673" s="29" t="str">
        <f t="shared" si="30"/>
        <v/>
      </c>
      <c r="J673" s="30" t="str">
        <f t="shared" si="31"/>
        <v/>
      </c>
      <c r="K673" s="26"/>
      <c r="L673" s="24" t="str">
        <f>IF(N673="","",IF(N673="T","Título de capítulo",IF(OR(ISERROR(F673),ISERROR(G673),ISERROR(H673)),"Error en fórmula: pegá como valores",IF(AND(B673="",$C$6=""),"Falta sector",IF(M673="","Falta capítulo",IF(TRIM(E673)="","Falta unidad",IF(NOT((COUNTIF(Listas!$A$2:$A$40,E673)+COUNTIF(Listas!$D$2:$D$60,E673)&gt;0)),"Unidad no reconocida",IF(AND(F673&lt;&gt;"",NOT(ISNUMBER(F673))),"Cantidad no es número",IF(N(F673)&lt;=0,"Falta cantidad",IF(OR(AND(G673&lt;&gt;"",NOT(ISNUMBER(G673))),AND(H673&lt;&gt;"",NOT(ISNUMBER(H673)))),"Precio no es número",IF(N(G673)+N(H673)&lt;=0,"Falta precio","✓ OK")))))))))))</f>
        <v/>
      </c>
      <c r="M673" t="str">
        <f>IF(N673&lt;&gt;"W","",IF(TRIM(C673)&lt;&gt;"",TRIM(C673),IFERROR(LOOKUP(2,1/(N$9:N673="T"),D$9:D673),"")))</f>
        <v/>
      </c>
      <c r="N673" t="str">
        <f t="shared" si="32"/>
        <v/>
      </c>
      <c r="O673" t="str">
        <f>IF(M673="","",IF(COUNTIF(M$9:M673,M673)=1,MAX(O$8:O672)+1,""))</f>
        <v/>
      </c>
    </row>
    <row r="674" spans="1:15" x14ac:dyDescent="0.75">
      <c r="A674" s="24" t="str">
        <f>IF(N674="W",COUNTIF(N$9:N674,"W"),"")</f>
        <v/>
      </c>
      <c r="B674" s="25"/>
      <c r="C674" s="25"/>
      <c r="D674" s="26"/>
      <c r="E674" s="25"/>
      <c r="F674" s="27"/>
      <c r="G674" s="28"/>
      <c r="H674" s="28"/>
      <c r="I674" s="29" t="str">
        <f t="shared" si="30"/>
        <v/>
      </c>
      <c r="J674" s="30" t="str">
        <f t="shared" si="31"/>
        <v/>
      </c>
      <c r="K674" s="26"/>
      <c r="L674" s="24" t="str">
        <f>IF(N674="","",IF(N674="T","Título de capítulo",IF(OR(ISERROR(F674),ISERROR(G674),ISERROR(H674)),"Error en fórmula: pegá como valores",IF(AND(B674="",$C$6=""),"Falta sector",IF(M674="","Falta capítulo",IF(TRIM(E674)="","Falta unidad",IF(NOT((COUNTIF(Listas!$A$2:$A$40,E674)+COUNTIF(Listas!$D$2:$D$60,E674)&gt;0)),"Unidad no reconocida",IF(AND(F674&lt;&gt;"",NOT(ISNUMBER(F674))),"Cantidad no es número",IF(N(F674)&lt;=0,"Falta cantidad",IF(OR(AND(G674&lt;&gt;"",NOT(ISNUMBER(G674))),AND(H674&lt;&gt;"",NOT(ISNUMBER(H674)))),"Precio no es número",IF(N(G674)+N(H674)&lt;=0,"Falta precio","✓ OK")))))))))))</f>
        <v/>
      </c>
      <c r="M674" t="str">
        <f>IF(N674&lt;&gt;"W","",IF(TRIM(C674)&lt;&gt;"",TRIM(C674),IFERROR(LOOKUP(2,1/(N$9:N674="T"),D$9:D674),"")))</f>
        <v/>
      </c>
      <c r="N674" t="str">
        <f t="shared" si="32"/>
        <v/>
      </c>
      <c r="O674" t="str">
        <f>IF(M674="","",IF(COUNTIF(M$9:M674,M674)=1,MAX(O$8:O673)+1,""))</f>
        <v/>
      </c>
    </row>
    <row r="675" spans="1:15" x14ac:dyDescent="0.75">
      <c r="A675" s="24" t="str">
        <f>IF(N675="W",COUNTIF(N$9:N675,"W"),"")</f>
        <v/>
      </c>
      <c r="B675" s="25"/>
      <c r="C675" s="25"/>
      <c r="D675" s="26"/>
      <c r="E675" s="25"/>
      <c r="F675" s="27"/>
      <c r="G675" s="28"/>
      <c r="H675" s="28"/>
      <c r="I675" s="29" t="str">
        <f t="shared" si="30"/>
        <v/>
      </c>
      <c r="J675" s="30" t="str">
        <f t="shared" si="31"/>
        <v/>
      </c>
      <c r="K675" s="26"/>
      <c r="L675" s="24" t="str">
        <f>IF(N675="","",IF(N675="T","Título de capítulo",IF(OR(ISERROR(F675),ISERROR(G675),ISERROR(H675)),"Error en fórmula: pegá como valores",IF(AND(B675="",$C$6=""),"Falta sector",IF(M675="","Falta capítulo",IF(TRIM(E675)="","Falta unidad",IF(NOT((COUNTIF(Listas!$A$2:$A$40,E675)+COUNTIF(Listas!$D$2:$D$60,E675)&gt;0)),"Unidad no reconocida",IF(AND(F675&lt;&gt;"",NOT(ISNUMBER(F675))),"Cantidad no es número",IF(N(F675)&lt;=0,"Falta cantidad",IF(OR(AND(G675&lt;&gt;"",NOT(ISNUMBER(G675))),AND(H675&lt;&gt;"",NOT(ISNUMBER(H675)))),"Precio no es número",IF(N(G675)+N(H675)&lt;=0,"Falta precio","✓ OK")))))))))))</f>
        <v/>
      </c>
      <c r="M675" t="str">
        <f>IF(N675&lt;&gt;"W","",IF(TRIM(C675)&lt;&gt;"",TRIM(C675),IFERROR(LOOKUP(2,1/(N$9:N675="T"),D$9:D675),"")))</f>
        <v/>
      </c>
      <c r="N675" t="str">
        <f t="shared" si="32"/>
        <v/>
      </c>
      <c r="O675" t="str">
        <f>IF(M675="","",IF(COUNTIF(M$9:M675,M675)=1,MAX(O$8:O674)+1,""))</f>
        <v/>
      </c>
    </row>
    <row r="676" spans="1:15" x14ac:dyDescent="0.75">
      <c r="A676" s="24" t="str">
        <f>IF(N676="W",COUNTIF(N$9:N676,"W"),"")</f>
        <v/>
      </c>
      <c r="B676" s="25"/>
      <c r="C676" s="25"/>
      <c r="D676" s="26"/>
      <c r="E676" s="25"/>
      <c r="F676" s="27"/>
      <c r="G676" s="28"/>
      <c r="H676" s="28"/>
      <c r="I676" s="29" t="str">
        <f t="shared" si="30"/>
        <v/>
      </c>
      <c r="J676" s="30" t="str">
        <f t="shared" si="31"/>
        <v/>
      </c>
      <c r="K676" s="26"/>
      <c r="L676" s="24" t="str">
        <f>IF(N676="","",IF(N676="T","Título de capítulo",IF(OR(ISERROR(F676),ISERROR(G676),ISERROR(H676)),"Error en fórmula: pegá como valores",IF(AND(B676="",$C$6=""),"Falta sector",IF(M676="","Falta capítulo",IF(TRIM(E676)="","Falta unidad",IF(NOT((COUNTIF(Listas!$A$2:$A$40,E676)+COUNTIF(Listas!$D$2:$D$60,E676)&gt;0)),"Unidad no reconocida",IF(AND(F676&lt;&gt;"",NOT(ISNUMBER(F676))),"Cantidad no es número",IF(N(F676)&lt;=0,"Falta cantidad",IF(OR(AND(G676&lt;&gt;"",NOT(ISNUMBER(G676))),AND(H676&lt;&gt;"",NOT(ISNUMBER(H676)))),"Precio no es número",IF(N(G676)+N(H676)&lt;=0,"Falta precio","✓ OK")))))))))))</f>
        <v/>
      </c>
      <c r="M676" t="str">
        <f>IF(N676&lt;&gt;"W","",IF(TRIM(C676)&lt;&gt;"",TRIM(C676),IFERROR(LOOKUP(2,1/(N$9:N676="T"),D$9:D676),"")))</f>
        <v/>
      </c>
      <c r="N676" t="str">
        <f t="shared" si="32"/>
        <v/>
      </c>
      <c r="O676" t="str">
        <f>IF(M676="","",IF(COUNTIF(M$9:M676,M676)=1,MAX(O$8:O675)+1,""))</f>
        <v/>
      </c>
    </row>
    <row r="677" spans="1:15" x14ac:dyDescent="0.75">
      <c r="A677" s="24" t="str">
        <f>IF(N677="W",COUNTIF(N$9:N677,"W"),"")</f>
        <v/>
      </c>
      <c r="B677" s="25"/>
      <c r="C677" s="25"/>
      <c r="D677" s="26"/>
      <c r="E677" s="25"/>
      <c r="F677" s="27"/>
      <c r="G677" s="28"/>
      <c r="H677" s="28"/>
      <c r="I677" s="29" t="str">
        <f t="shared" si="30"/>
        <v/>
      </c>
      <c r="J677" s="30" t="str">
        <f t="shared" si="31"/>
        <v/>
      </c>
      <c r="K677" s="26"/>
      <c r="L677" s="24" t="str">
        <f>IF(N677="","",IF(N677="T","Título de capítulo",IF(OR(ISERROR(F677),ISERROR(G677),ISERROR(H677)),"Error en fórmula: pegá como valores",IF(AND(B677="",$C$6=""),"Falta sector",IF(M677="","Falta capítulo",IF(TRIM(E677)="","Falta unidad",IF(NOT((COUNTIF(Listas!$A$2:$A$40,E677)+COUNTIF(Listas!$D$2:$D$60,E677)&gt;0)),"Unidad no reconocida",IF(AND(F677&lt;&gt;"",NOT(ISNUMBER(F677))),"Cantidad no es número",IF(N(F677)&lt;=0,"Falta cantidad",IF(OR(AND(G677&lt;&gt;"",NOT(ISNUMBER(G677))),AND(H677&lt;&gt;"",NOT(ISNUMBER(H677)))),"Precio no es número",IF(N(G677)+N(H677)&lt;=0,"Falta precio","✓ OK")))))))))))</f>
        <v/>
      </c>
      <c r="M677" t="str">
        <f>IF(N677&lt;&gt;"W","",IF(TRIM(C677)&lt;&gt;"",TRIM(C677),IFERROR(LOOKUP(2,1/(N$9:N677="T"),D$9:D677),"")))</f>
        <v/>
      </c>
      <c r="N677" t="str">
        <f t="shared" si="32"/>
        <v/>
      </c>
      <c r="O677" t="str">
        <f>IF(M677="","",IF(COUNTIF(M$9:M677,M677)=1,MAX(O$8:O676)+1,""))</f>
        <v/>
      </c>
    </row>
    <row r="678" spans="1:15" x14ac:dyDescent="0.75">
      <c r="A678" s="24" t="str">
        <f>IF(N678="W",COUNTIF(N$9:N678,"W"),"")</f>
        <v/>
      </c>
      <c r="B678" s="25"/>
      <c r="C678" s="25"/>
      <c r="D678" s="26"/>
      <c r="E678" s="25"/>
      <c r="F678" s="27"/>
      <c r="G678" s="28"/>
      <c r="H678" s="28"/>
      <c r="I678" s="29" t="str">
        <f t="shared" si="30"/>
        <v/>
      </c>
      <c r="J678" s="30" t="str">
        <f t="shared" si="31"/>
        <v/>
      </c>
      <c r="K678" s="26"/>
      <c r="L678" s="24" t="str">
        <f>IF(N678="","",IF(N678="T","Título de capítulo",IF(OR(ISERROR(F678),ISERROR(G678),ISERROR(H678)),"Error en fórmula: pegá como valores",IF(AND(B678="",$C$6=""),"Falta sector",IF(M678="","Falta capítulo",IF(TRIM(E678)="","Falta unidad",IF(NOT((COUNTIF(Listas!$A$2:$A$40,E678)+COUNTIF(Listas!$D$2:$D$60,E678)&gt;0)),"Unidad no reconocida",IF(AND(F678&lt;&gt;"",NOT(ISNUMBER(F678))),"Cantidad no es número",IF(N(F678)&lt;=0,"Falta cantidad",IF(OR(AND(G678&lt;&gt;"",NOT(ISNUMBER(G678))),AND(H678&lt;&gt;"",NOT(ISNUMBER(H678)))),"Precio no es número",IF(N(G678)+N(H678)&lt;=0,"Falta precio","✓ OK")))))))))))</f>
        <v/>
      </c>
      <c r="M678" t="str">
        <f>IF(N678&lt;&gt;"W","",IF(TRIM(C678)&lt;&gt;"",TRIM(C678),IFERROR(LOOKUP(2,1/(N$9:N678="T"),D$9:D678),"")))</f>
        <v/>
      </c>
      <c r="N678" t="str">
        <f t="shared" si="32"/>
        <v/>
      </c>
      <c r="O678" t="str">
        <f>IF(M678="","",IF(COUNTIF(M$9:M678,M678)=1,MAX(O$8:O677)+1,""))</f>
        <v/>
      </c>
    </row>
    <row r="679" spans="1:15" x14ac:dyDescent="0.75">
      <c r="A679" s="24" t="str">
        <f>IF(N679="W",COUNTIF(N$9:N679,"W"),"")</f>
        <v/>
      </c>
      <c r="B679" s="25"/>
      <c r="C679" s="25"/>
      <c r="D679" s="26"/>
      <c r="E679" s="25"/>
      <c r="F679" s="27"/>
      <c r="G679" s="28"/>
      <c r="H679" s="28"/>
      <c r="I679" s="29" t="str">
        <f t="shared" si="30"/>
        <v/>
      </c>
      <c r="J679" s="30" t="str">
        <f t="shared" si="31"/>
        <v/>
      </c>
      <c r="K679" s="26"/>
      <c r="L679" s="24" t="str">
        <f>IF(N679="","",IF(N679="T","Título de capítulo",IF(OR(ISERROR(F679),ISERROR(G679),ISERROR(H679)),"Error en fórmula: pegá como valores",IF(AND(B679="",$C$6=""),"Falta sector",IF(M679="","Falta capítulo",IF(TRIM(E679)="","Falta unidad",IF(NOT((COUNTIF(Listas!$A$2:$A$40,E679)+COUNTIF(Listas!$D$2:$D$60,E679)&gt;0)),"Unidad no reconocida",IF(AND(F679&lt;&gt;"",NOT(ISNUMBER(F679))),"Cantidad no es número",IF(N(F679)&lt;=0,"Falta cantidad",IF(OR(AND(G679&lt;&gt;"",NOT(ISNUMBER(G679))),AND(H679&lt;&gt;"",NOT(ISNUMBER(H679)))),"Precio no es número",IF(N(G679)+N(H679)&lt;=0,"Falta precio","✓ OK")))))))))))</f>
        <v/>
      </c>
      <c r="M679" t="str">
        <f>IF(N679&lt;&gt;"W","",IF(TRIM(C679)&lt;&gt;"",TRIM(C679),IFERROR(LOOKUP(2,1/(N$9:N679="T"),D$9:D679),"")))</f>
        <v/>
      </c>
      <c r="N679" t="str">
        <f t="shared" si="32"/>
        <v/>
      </c>
      <c r="O679" t="str">
        <f>IF(M679="","",IF(COUNTIF(M$9:M679,M679)=1,MAX(O$8:O678)+1,""))</f>
        <v/>
      </c>
    </row>
    <row r="680" spans="1:15" x14ac:dyDescent="0.75">
      <c r="A680" s="24" t="str">
        <f>IF(N680="W",COUNTIF(N$9:N680,"W"),"")</f>
        <v/>
      </c>
      <c r="B680" s="25"/>
      <c r="C680" s="25"/>
      <c r="D680" s="26"/>
      <c r="E680" s="25"/>
      <c r="F680" s="27"/>
      <c r="G680" s="28"/>
      <c r="H680" s="28"/>
      <c r="I680" s="29" t="str">
        <f t="shared" si="30"/>
        <v/>
      </c>
      <c r="J680" s="30" t="str">
        <f t="shared" si="31"/>
        <v/>
      </c>
      <c r="K680" s="26"/>
      <c r="L680" s="24" t="str">
        <f>IF(N680="","",IF(N680="T","Título de capítulo",IF(OR(ISERROR(F680),ISERROR(G680),ISERROR(H680)),"Error en fórmula: pegá como valores",IF(AND(B680="",$C$6=""),"Falta sector",IF(M680="","Falta capítulo",IF(TRIM(E680)="","Falta unidad",IF(NOT((COUNTIF(Listas!$A$2:$A$40,E680)+COUNTIF(Listas!$D$2:$D$60,E680)&gt;0)),"Unidad no reconocida",IF(AND(F680&lt;&gt;"",NOT(ISNUMBER(F680))),"Cantidad no es número",IF(N(F680)&lt;=0,"Falta cantidad",IF(OR(AND(G680&lt;&gt;"",NOT(ISNUMBER(G680))),AND(H680&lt;&gt;"",NOT(ISNUMBER(H680)))),"Precio no es número",IF(N(G680)+N(H680)&lt;=0,"Falta precio","✓ OK")))))))))))</f>
        <v/>
      </c>
      <c r="M680" t="str">
        <f>IF(N680&lt;&gt;"W","",IF(TRIM(C680)&lt;&gt;"",TRIM(C680),IFERROR(LOOKUP(2,1/(N$9:N680="T"),D$9:D680),"")))</f>
        <v/>
      </c>
      <c r="N680" t="str">
        <f t="shared" si="32"/>
        <v/>
      </c>
      <c r="O680" t="str">
        <f>IF(M680="","",IF(COUNTIF(M$9:M680,M680)=1,MAX(O$8:O679)+1,""))</f>
        <v/>
      </c>
    </row>
    <row r="681" spans="1:15" x14ac:dyDescent="0.75">
      <c r="A681" s="24" t="str">
        <f>IF(N681="W",COUNTIF(N$9:N681,"W"),"")</f>
        <v/>
      </c>
      <c r="B681" s="25"/>
      <c r="C681" s="25"/>
      <c r="D681" s="26"/>
      <c r="E681" s="25"/>
      <c r="F681" s="27"/>
      <c r="G681" s="28"/>
      <c r="H681" s="28"/>
      <c r="I681" s="29" t="str">
        <f t="shared" si="30"/>
        <v/>
      </c>
      <c r="J681" s="30" t="str">
        <f t="shared" si="31"/>
        <v/>
      </c>
      <c r="K681" s="26"/>
      <c r="L681" s="24" t="str">
        <f>IF(N681="","",IF(N681="T","Título de capítulo",IF(OR(ISERROR(F681),ISERROR(G681),ISERROR(H681)),"Error en fórmula: pegá como valores",IF(AND(B681="",$C$6=""),"Falta sector",IF(M681="","Falta capítulo",IF(TRIM(E681)="","Falta unidad",IF(NOT((COUNTIF(Listas!$A$2:$A$40,E681)+COUNTIF(Listas!$D$2:$D$60,E681)&gt;0)),"Unidad no reconocida",IF(AND(F681&lt;&gt;"",NOT(ISNUMBER(F681))),"Cantidad no es número",IF(N(F681)&lt;=0,"Falta cantidad",IF(OR(AND(G681&lt;&gt;"",NOT(ISNUMBER(G681))),AND(H681&lt;&gt;"",NOT(ISNUMBER(H681)))),"Precio no es número",IF(N(G681)+N(H681)&lt;=0,"Falta precio","✓ OK")))))))))))</f>
        <v/>
      </c>
      <c r="M681" t="str">
        <f>IF(N681&lt;&gt;"W","",IF(TRIM(C681)&lt;&gt;"",TRIM(C681),IFERROR(LOOKUP(2,1/(N$9:N681="T"),D$9:D681),"")))</f>
        <v/>
      </c>
      <c r="N681" t="str">
        <f t="shared" si="32"/>
        <v/>
      </c>
      <c r="O681" t="str">
        <f>IF(M681="","",IF(COUNTIF(M$9:M681,M681)=1,MAX(O$8:O680)+1,""))</f>
        <v/>
      </c>
    </row>
    <row r="682" spans="1:15" x14ac:dyDescent="0.75">
      <c r="A682" s="24" t="str">
        <f>IF(N682="W",COUNTIF(N$9:N682,"W"),"")</f>
        <v/>
      </c>
      <c r="B682" s="25"/>
      <c r="C682" s="25"/>
      <c r="D682" s="26"/>
      <c r="E682" s="25"/>
      <c r="F682" s="27"/>
      <c r="G682" s="28"/>
      <c r="H682" s="28"/>
      <c r="I682" s="29" t="str">
        <f t="shared" si="30"/>
        <v/>
      </c>
      <c r="J682" s="30" t="str">
        <f t="shared" si="31"/>
        <v/>
      </c>
      <c r="K682" s="26"/>
      <c r="L682" s="24" t="str">
        <f>IF(N682="","",IF(N682="T","Título de capítulo",IF(OR(ISERROR(F682),ISERROR(G682),ISERROR(H682)),"Error en fórmula: pegá como valores",IF(AND(B682="",$C$6=""),"Falta sector",IF(M682="","Falta capítulo",IF(TRIM(E682)="","Falta unidad",IF(NOT((COUNTIF(Listas!$A$2:$A$40,E682)+COUNTIF(Listas!$D$2:$D$60,E682)&gt;0)),"Unidad no reconocida",IF(AND(F682&lt;&gt;"",NOT(ISNUMBER(F682))),"Cantidad no es número",IF(N(F682)&lt;=0,"Falta cantidad",IF(OR(AND(G682&lt;&gt;"",NOT(ISNUMBER(G682))),AND(H682&lt;&gt;"",NOT(ISNUMBER(H682)))),"Precio no es número",IF(N(G682)+N(H682)&lt;=0,"Falta precio","✓ OK")))))))))))</f>
        <v/>
      </c>
      <c r="M682" t="str">
        <f>IF(N682&lt;&gt;"W","",IF(TRIM(C682)&lt;&gt;"",TRIM(C682),IFERROR(LOOKUP(2,1/(N$9:N682="T"),D$9:D682),"")))</f>
        <v/>
      </c>
      <c r="N682" t="str">
        <f t="shared" si="32"/>
        <v/>
      </c>
      <c r="O682" t="str">
        <f>IF(M682="","",IF(COUNTIF(M$9:M682,M682)=1,MAX(O$8:O681)+1,""))</f>
        <v/>
      </c>
    </row>
    <row r="683" spans="1:15" x14ac:dyDescent="0.75">
      <c r="A683" s="24" t="str">
        <f>IF(N683="W",COUNTIF(N$9:N683,"W"),"")</f>
        <v/>
      </c>
      <c r="B683" s="25"/>
      <c r="C683" s="25"/>
      <c r="D683" s="26"/>
      <c r="E683" s="25"/>
      <c r="F683" s="27"/>
      <c r="G683" s="28"/>
      <c r="H683" s="28"/>
      <c r="I683" s="29" t="str">
        <f t="shared" si="30"/>
        <v/>
      </c>
      <c r="J683" s="30" t="str">
        <f t="shared" si="31"/>
        <v/>
      </c>
      <c r="K683" s="26"/>
      <c r="L683" s="24" t="str">
        <f>IF(N683="","",IF(N683="T","Título de capítulo",IF(OR(ISERROR(F683),ISERROR(G683),ISERROR(H683)),"Error en fórmula: pegá como valores",IF(AND(B683="",$C$6=""),"Falta sector",IF(M683="","Falta capítulo",IF(TRIM(E683)="","Falta unidad",IF(NOT((COUNTIF(Listas!$A$2:$A$40,E683)+COUNTIF(Listas!$D$2:$D$60,E683)&gt;0)),"Unidad no reconocida",IF(AND(F683&lt;&gt;"",NOT(ISNUMBER(F683))),"Cantidad no es número",IF(N(F683)&lt;=0,"Falta cantidad",IF(OR(AND(G683&lt;&gt;"",NOT(ISNUMBER(G683))),AND(H683&lt;&gt;"",NOT(ISNUMBER(H683)))),"Precio no es número",IF(N(G683)+N(H683)&lt;=0,"Falta precio","✓ OK")))))))))))</f>
        <v/>
      </c>
      <c r="M683" t="str">
        <f>IF(N683&lt;&gt;"W","",IF(TRIM(C683)&lt;&gt;"",TRIM(C683),IFERROR(LOOKUP(2,1/(N$9:N683="T"),D$9:D683),"")))</f>
        <v/>
      </c>
      <c r="N683" t="str">
        <f t="shared" si="32"/>
        <v/>
      </c>
      <c r="O683" t="str">
        <f>IF(M683="","",IF(COUNTIF(M$9:M683,M683)=1,MAX(O$8:O682)+1,""))</f>
        <v/>
      </c>
    </row>
    <row r="684" spans="1:15" x14ac:dyDescent="0.75">
      <c r="A684" s="24" t="str">
        <f>IF(N684="W",COUNTIF(N$9:N684,"W"),"")</f>
        <v/>
      </c>
      <c r="B684" s="25"/>
      <c r="C684" s="25"/>
      <c r="D684" s="26"/>
      <c r="E684" s="25"/>
      <c r="F684" s="27"/>
      <c r="G684" s="28"/>
      <c r="H684" s="28"/>
      <c r="I684" s="29" t="str">
        <f t="shared" si="30"/>
        <v/>
      </c>
      <c r="J684" s="30" t="str">
        <f t="shared" si="31"/>
        <v/>
      </c>
      <c r="K684" s="26"/>
      <c r="L684" s="24" t="str">
        <f>IF(N684="","",IF(N684="T","Título de capítulo",IF(OR(ISERROR(F684),ISERROR(G684),ISERROR(H684)),"Error en fórmula: pegá como valores",IF(AND(B684="",$C$6=""),"Falta sector",IF(M684="","Falta capítulo",IF(TRIM(E684)="","Falta unidad",IF(NOT((COUNTIF(Listas!$A$2:$A$40,E684)+COUNTIF(Listas!$D$2:$D$60,E684)&gt;0)),"Unidad no reconocida",IF(AND(F684&lt;&gt;"",NOT(ISNUMBER(F684))),"Cantidad no es número",IF(N(F684)&lt;=0,"Falta cantidad",IF(OR(AND(G684&lt;&gt;"",NOT(ISNUMBER(G684))),AND(H684&lt;&gt;"",NOT(ISNUMBER(H684)))),"Precio no es número",IF(N(G684)+N(H684)&lt;=0,"Falta precio","✓ OK")))))))))))</f>
        <v/>
      </c>
      <c r="M684" t="str">
        <f>IF(N684&lt;&gt;"W","",IF(TRIM(C684)&lt;&gt;"",TRIM(C684),IFERROR(LOOKUP(2,1/(N$9:N684="T"),D$9:D684),"")))</f>
        <v/>
      </c>
      <c r="N684" t="str">
        <f t="shared" si="32"/>
        <v/>
      </c>
      <c r="O684" t="str">
        <f>IF(M684="","",IF(COUNTIF(M$9:M684,M684)=1,MAX(O$8:O683)+1,""))</f>
        <v/>
      </c>
    </row>
    <row r="685" spans="1:15" x14ac:dyDescent="0.75">
      <c r="A685" s="24" t="str">
        <f>IF(N685="W",COUNTIF(N$9:N685,"W"),"")</f>
        <v/>
      </c>
      <c r="B685" s="25"/>
      <c r="C685" s="25"/>
      <c r="D685" s="26"/>
      <c r="E685" s="25"/>
      <c r="F685" s="27"/>
      <c r="G685" s="28"/>
      <c r="H685" s="28"/>
      <c r="I685" s="29" t="str">
        <f t="shared" si="30"/>
        <v/>
      </c>
      <c r="J685" s="30" t="str">
        <f t="shared" si="31"/>
        <v/>
      </c>
      <c r="K685" s="26"/>
      <c r="L685" s="24" t="str">
        <f>IF(N685="","",IF(N685="T","Título de capítulo",IF(OR(ISERROR(F685),ISERROR(G685),ISERROR(H685)),"Error en fórmula: pegá como valores",IF(AND(B685="",$C$6=""),"Falta sector",IF(M685="","Falta capítulo",IF(TRIM(E685)="","Falta unidad",IF(NOT((COUNTIF(Listas!$A$2:$A$40,E685)+COUNTIF(Listas!$D$2:$D$60,E685)&gt;0)),"Unidad no reconocida",IF(AND(F685&lt;&gt;"",NOT(ISNUMBER(F685))),"Cantidad no es número",IF(N(F685)&lt;=0,"Falta cantidad",IF(OR(AND(G685&lt;&gt;"",NOT(ISNUMBER(G685))),AND(H685&lt;&gt;"",NOT(ISNUMBER(H685)))),"Precio no es número",IF(N(G685)+N(H685)&lt;=0,"Falta precio","✓ OK")))))))))))</f>
        <v/>
      </c>
      <c r="M685" t="str">
        <f>IF(N685&lt;&gt;"W","",IF(TRIM(C685)&lt;&gt;"",TRIM(C685),IFERROR(LOOKUP(2,1/(N$9:N685="T"),D$9:D685),"")))</f>
        <v/>
      </c>
      <c r="N685" t="str">
        <f t="shared" si="32"/>
        <v/>
      </c>
      <c r="O685" t="str">
        <f>IF(M685="","",IF(COUNTIF(M$9:M685,M685)=1,MAX(O$8:O684)+1,""))</f>
        <v/>
      </c>
    </row>
    <row r="686" spans="1:15" x14ac:dyDescent="0.75">
      <c r="A686" s="24" t="str">
        <f>IF(N686="W",COUNTIF(N$9:N686,"W"),"")</f>
        <v/>
      </c>
      <c r="B686" s="25"/>
      <c r="C686" s="25"/>
      <c r="D686" s="26"/>
      <c r="E686" s="25"/>
      <c r="F686" s="27"/>
      <c r="G686" s="28"/>
      <c r="H686" s="28"/>
      <c r="I686" s="29" t="str">
        <f t="shared" si="30"/>
        <v/>
      </c>
      <c r="J686" s="30" t="str">
        <f t="shared" si="31"/>
        <v/>
      </c>
      <c r="K686" s="26"/>
      <c r="L686" s="24" t="str">
        <f>IF(N686="","",IF(N686="T","Título de capítulo",IF(OR(ISERROR(F686),ISERROR(G686),ISERROR(H686)),"Error en fórmula: pegá como valores",IF(AND(B686="",$C$6=""),"Falta sector",IF(M686="","Falta capítulo",IF(TRIM(E686)="","Falta unidad",IF(NOT((COUNTIF(Listas!$A$2:$A$40,E686)+COUNTIF(Listas!$D$2:$D$60,E686)&gt;0)),"Unidad no reconocida",IF(AND(F686&lt;&gt;"",NOT(ISNUMBER(F686))),"Cantidad no es número",IF(N(F686)&lt;=0,"Falta cantidad",IF(OR(AND(G686&lt;&gt;"",NOT(ISNUMBER(G686))),AND(H686&lt;&gt;"",NOT(ISNUMBER(H686)))),"Precio no es número",IF(N(G686)+N(H686)&lt;=0,"Falta precio","✓ OK")))))))))))</f>
        <v/>
      </c>
      <c r="M686" t="str">
        <f>IF(N686&lt;&gt;"W","",IF(TRIM(C686)&lt;&gt;"",TRIM(C686),IFERROR(LOOKUP(2,1/(N$9:N686="T"),D$9:D686),"")))</f>
        <v/>
      </c>
      <c r="N686" t="str">
        <f t="shared" si="32"/>
        <v/>
      </c>
      <c r="O686" t="str">
        <f>IF(M686="","",IF(COUNTIF(M$9:M686,M686)=1,MAX(O$8:O685)+1,""))</f>
        <v/>
      </c>
    </row>
    <row r="687" spans="1:15" x14ac:dyDescent="0.75">
      <c r="A687" s="24" t="str">
        <f>IF(N687="W",COUNTIF(N$9:N687,"W"),"")</f>
        <v/>
      </c>
      <c r="B687" s="25"/>
      <c r="C687" s="25"/>
      <c r="D687" s="26"/>
      <c r="E687" s="25"/>
      <c r="F687" s="27"/>
      <c r="G687" s="28"/>
      <c r="H687" s="28"/>
      <c r="I687" s="29" t="str">
        <f t="shared" si="30"/>
        <v/>
      </c>
      <c r="J687" s="30" t="str">
        <f t="shared" si="31"/>
        <v/>
      </c>
      <c r="K687" s="26"/>
      <c r="L687" s="24" t="str">
        <f>IF(N687="","",IF(N687="T","Título de capítulo",IF(OR(ISERROR(F687),ISERROR(G687),ISERROR(H687)),"Error en fórmula: pegá como valores",IF(AND(B687="",$C$6=""),"Falta sector",IF(M687="","Falta capítulo",IF(TRIM(E687)="","Falta unidad",IF(NOT((COUNTIF(Listas!$A$2:$A$40,E687)+COUNTIF(Listas!$D$2:$D$60,E687)&gt;0)),"Unidad no reconocida",IF(AND(F687&lt;&gt;"",NOT(ISNUMBER(F687))),"Cantidad no es número",IF(N(F687)&lt;=0,"Falta cantidad",IF(OR(AND(G687&lt;&gt;"",NOT(ISNUMBER(G687))),AND(H687&lt;&gt;"",NOT(ISNUMBER(H687)))),"Precio no es número",IF(N(G687)+N(H687)&lt;=0,"Falta precio","✓ OK")))))))))))</f>
        <v/>
      </c>
      <c r="M687" t="str">
        <f>IF(N687&lt;&gt;"W","",IF(TRIM(C687)&lt;&gt;"",TRIM(C687),IFERROR(LOOKUP(2,1/(N$9:N687="T"),D$9:D687),"")))</f>
        <v/>
      </c>
      <c r="N687" t="str">
        <f t="shared" si="32"/>
        <v/>
      </c>
      <c r="O687" t="str">
        <f>IF(M687="","",IF(COUNTIF(M$9:M687,M687)=1,MAX(O$8:O686)+1,""))</f>
        <v/>
      </c>
    </row>
    <row r="688" spans="1:15" x14ac:dyDescent="0.75">
      <c r="A688" s="24" t="str">
        <f>IF(N688="W",COUNTIF(N$9:N688,"W"),"")</f>
        <v/>
      </c>
      <c r="B688" s="25"/>
      <c r="C688" s="25"/>
      <c r="D688" s="26"/>
      <c r="E688" s="25"/>
      <c r="F688" s="27"/>
      <c r="G688" s="28"/>
      <c r="H688" s="28"/>
      <c r="I688" s="29" t="str">
        <f t="shared" si="30"/>
        <v/>
      </c>
      <c r="J688" s="30" t="str">
        <f t="shared" si="31"/>
        <v/>
      </c>
      <c r="K688" s="26"/>
      <c r="L688" s="24" t="str">
        <f>IF(N688="","",IF(N688="T","Título de capítulo",IF(OR(ISERROR(F688),ISERROR(G688),ISERROR(H688)),"Error en fórmula: pegá como valores",IF(AND(B688="",$C$6=""),"Falta sector",IF(M688="","Falta capítulo",IF(TRIM(E688)="","Falta unidad",IF(NOT((COUNTIF(Listas!$A$2:$A$40,E688)+COUNTIF(Listas!$D$2:$D$60,E688)&gt;0)),"Unidad no reconocida",IF(AND(F688&lt;&gt;"",NOT(ISNUMBER(F688))),"Cantidad no es número",IF(N(F688)&lt;=0,"Falta cantidad",IF(OR(AND(G688&lt;&gt;"",NOT(ISNUMBER(G688))),AND(H688&lt;&gt;"",NOT(ISNUMBER(H688)))),"Precio no es número",IF(N(G688)+N(H688)&lt;=0,"Falta precio","✓ OK")))))))))))</f>
        <v/>
      </c>
      <c r="M688" t="str">
        <f>IF(N688&lt;&gt;"W","",IF(TRIM(C688)&lt;&gt;"",TRIM(C688),IFERROR(LOOKUP(2,1/(N$9:N688="T"),D$9:D688),"")))</f>
        <v/>
      </c>
      <c r="N688" t="str">
        <f t="shared" si="32"/>
        <v/>
      </c>
      <c r="O688" t="str">
        <f>IF(M688="","",IF(COUNTIF(M$9:M688,M688)=1,MAX(O$8:O687)+1,""))</f>
        <v/>
      </c>
    </row>
    <row r="689" spans="1:15" x14ac:dyDescent="0.75">
      <c r="A689" s="24" t="str">
        <f>IF(N689="W",COUNTIF(N$9:N689,"W"),"")</f>
        <v/>
      </c>
      <c r="B689" s="25"/>
      <c r="C689" s="25"/>
      <c r="D689" s="26"/>
      <c r="E689" s="25"/>
      <c r="F689" s="27"/>
      <c r="G689" s="28"/>
      <c r="H689" s="28"/>
      <c r="I689" s="29" t="str">
        <f t="shared" si="30"/>
        <v/>
      </c>
      <c r="J689" s="30" t="str">
        <f t="shared" si="31"/>
        <v/>
      </c>
      <c r="K689" s="26"/>
      <c r="L689" s="24" t="str">
        <f>IF(N689="","",IF(N689="T","Título de capítulo",IF(OR(ISERROR(F689),ISERROR(G689),ISERROR(H689)),"Error en fórmula: pegá como valores",IF(AND(B689="",$C$6=""),"Falta sector",IF(M689="","Falta capítulo",IF(TRIM(E689)="","Falta unidad",IF(NOT((COUNTIF(Listas!$A$2:$A$40,E689)+COUNTIF(Listas!$D$2:$D$60,E689)&gt;0)),"Unidad no reconocida",IF(AND(F689&lt;&gt;"",NOT(ISNUMBER(F689))),"Cantidad no es número",IF(N(F689)&lt;=0,"Falta cantidad",IF(OR(AND(G689&lt;&gt;"",NOT(ISNUMBER(G689))),AND(H689&lt;&gt;"",NOT(ISNUMBER(H689)))),"Precio no es número",IF(N(G689)+N(H689)&lt;=0,"Falta precio","✓ OK")))))))))))</f>
        <v/>
      </c>
      <c r="M689" t="str">
        <f>IF(N689&lt;&gt;"W","",IF(TRIM(C689)&lt;&gt;"",TRIM(C689),IFERROR(LOOKUP(2,1/(N$9:N689="T"),D$9:D689),"")))</f>
        <v/>
      </c>
      <c r="N689" t="str">
        <f t="shared" si="32"/>
        <v/>
      </c>
      <c r="O689" t="str">
        <f>IF(M689="","",IF(COUNTIF(M$9:M689,M689)=1,MAX(O$8:O688)+1,""))</f>
        <v/>
      </c>
    </row>
    <row r="690" spans="1:15" x14ac:dyDescent="0.75">
      <c r="A690" s="24" t="str">
        <f>IF(N690="W",COUNTIF(N$9:N690,"W"),"")</f>
        <v/>
      </c>
      <c r="B690" s="25"/>
      <c r="C690" s="25"/>
      <c r="D690" s="26"/>
      <c r="E690" s="25"/>
      <c r="F690" s="27"/>
      <c r="G690" s="28"/>
      <c r="H690" s="28"/>
      <c r="I690" s="29" t="str">
        <f t="shared" si="30"/>
        <v/>
      </c>
      <c r="J690" s="30" t="str">
        <f t="shared" si="31"/>
        <v/>
      </c>
      <c r="K690" s="26"/>
      <c r="L690" s="24" t="str">
        <f>IF(N690="","",IF(N690="T","Título de capítulo",IF(OR(ISERROR(F690),ISERROR(G690),ISERROR(H690)),"Error en fórmula: pegá como valores",IF(AND(B690="",$C$6=""),"Falta sector",IF(M690="","Falta capítulo",IF(TRIM(E690)="","Falta unidad",IF(NOT((COUNTIF(Listas!$A$2:$A$40,E690)+COUNTIF(Listas!$D$2:$D$60,E690)&gt;0)),"Unidad no reconocida",IF(AND(F690&lt;&gt;"",NOT(ISNUMBER(F690))),"Cantidad no es número",IF(N(F690)&lt;=0,"Falta cantidad",IF(OR(AND(G690&lt;&gt;"",NOT(ISNUMBER(G690))),AND(H690&lt;&gt;"",NOT(ISNUMBER(H690)))),"Precio no es número",IF(N(G690)+N(H690)&lt;=0,"Falta precio","✓ OK")))))))))))</f>
        <v/>
      </c>
      <c r="M690" t="str">
        <f>IF(N690&lt;&gt;"W","",IF(TRIM(C690)&lt;&gt;"",TRIM(C690),IFERROR(LOOKUP(2,1/(N$9:N690="T"),D$9:D690),"")))</f>
        <v/>
      </c>
      <c r="N690" t="str">
        <f t="shared" si="32"/>
        <v/>
      </c>
      <c r="O690" t="str">
        <f>IF(M690="","",IF(COUNTIF(M$9:M690,M690)=1,MAX(O$8:O689)+1,""))</f>
        <v/>
      </c>
    </row>
    <row r="691" spans="1:15" x14ac:dyDescent="0.75">
      <c r="A691" s="24" t="str">
        <f>IF(N691="W",COUNTIF(N$9:N691,"W"),"")</f>
        <v/>
      </c>
      <c r="B691" s="25"/>
      <c r="C691" s="25"/>
      <c r="D691" s="26"/>
      <c r="E691" s="25"/>
      <c r="F691" s="27"/>
      <c r="G691" s="28"/>
      <c r="H691" s="28"/>
      <c r="I691" s="29" t="str">
        <f t="shared" si="30"/>
        <v/>
      </c>
      <c r="J691" s="30" t="str">
        <f t="shared" si="31"/>
        <v/>
      </c>
      <c r="K691" s="26"/>
      <c r="L691" s="24" t="str">
        <f>IF(N691="","",IF(N691="T","Título de capítulo",IF(OR(ISERROR(F691),ISERROR(G691),ISERROR(H691)),"Error en fórmula: pegá como valores",IF(AND(B691="",$C$6=""),"Falta sector",IF(M691="","Falta capítulo",IF(TRIM(E691)="","Falta unidad",IF(NOT((COUNTIF(Listas!$A$2:$A$40,E691)+COUNTIF(Listas!$D$2:$D$60,E691)&gt;0)),"Unidad no reconocida",IF(AND(F691&lt;&gt;"",NOT(ISNUMBER(F691))),"Cantidad no es número",IF(N(F691)&lt;=0,"Falta cantidad",IF(OR(AND(G691&lt;&gt;"",NOT(ISNUMBER(G691))),AND(H691&lt;&gt;"",NOT(ISNUMBER(H691)))),"Precio no es número",IF(N(G691)+N(H691)&lt;=0,"Falta precio","✓ OK")))))))))))</f>
        <v/>
      </c>
      <c r="M691" t="str">
        <f>IF(N691&lt;&gt;"W","",IF(TRIM(C691)&lt;&gt;"",TRIM(C691),IFERROR(LOOKUP(2,1/(N$9:N691="T"),D$9:D691),"")))</f>
        <v/>
      </c>
      <c r="N691" t="str">
        <f t="shared" si="32"/>
        <v/>
      </c>
      <c r="O691" t="str">
        <f>IF(M691="","",IF(COUNTIF(M$9:M691,M691)=1,MAX(O$8:O690)+1,""))</f>
        <v/>
      </c>
    </row>
    <row r="692" spans="1:15" x14ac:dyDescent="0.75">
      <c r="A692" s="24" t="str">
        <f>IF(N692="W",COUNTIF(N$9:N692,"W"),"")</f>
        <v/>
      </c>
      <c r="B692" s="25"/>
      <c r="C692" s="25"/>
      <c r="D692" s="26"/>
      <c r="E692" s="25"/>
      <c r="F692" s="27"/>
      <c r="G692" s="28"/>
      <c r="H692" s="28"/>
      <c r="I692" s="29" t="str">
        <f t="shared" si="30"/>
        <v/>
      </c>
      <c r="J692" s="30" t="str">
        <f t="shared" si="31"/>
        <v/>
      </c>
      <c r="K692" s="26"/>
      <c r="L692" s="24" t="str">
        <f>IF(N692="","",IF(N692="T","Título de capítulo",IF(OR(ISERROR(F692),ISERROR(G692),ISERROR(H692)),"Error en fórmula: pegá como valores",IF(AND(B692="",$C$6=""),"Falta sector",IF(M692="","Falta capítulo",IF(TRIM(E692)="","Falta unidad",IF(NOT((COUNTIF(Listas!$A$2:$A$40,E692)+COUNTIF(Listas!$D$2:$D$60,E692)&gt;0)),"Unidad no reconocida",IF(AND(F692&lt;&gt;"",NOT(ISNUMBER(F692))),"Cantidad no es número",IF(N(F692)&lt;=0,"Falta cantidad",IF(OR(AND(G692&lt;&gt;"",NOT(ISNUMBER(G692))),AND(H692&lt;&gt;"",NOT(ISNUMBER(H692)))),"Precio no es número",IF(N(G692)+N(H692)&lt;=0,"Falta precio","✓ OK")))))))))))</f>
        <v/>
      </c>
      <c r="M692" t="str">
        <f>IF(N692&lt;&gt;"W","",IF(TRIM(C692)&lt;&gt;"",TRIM(C692),IFERROR(LOOKUP(2,1/(N$9:N692="T"),D$9:D692),"")))</f>
        <v/>
      </c>
      <c r="N692" t="str">
        <f t="shared" si="32"/>
        <v/>
      </c>
      <c r="O692" t="str">
        <f>IF(M692="","",IF(COUNTIF(M$9:M692,M692)=1,MAX(O$8:O691)+1,""))</f>
        <v/>
      </c>
    </row>
    <row r="693" spans="1:15" x14ac:dyDescent="0.75">
      <c r="A693" s="24" t="str">
        <f>IF(N693="W",COUNTIF(N$9:N693,"W"),"")</f>
        <v/>
      </c>
      <c r="B693" s="25"/>
      <c r="C693" s="25"/>
      <c r="D693" s="26"/>
      <c r="E693" s="25"/>
      <c r="F693" s="27"/>
      <c r="G693" s="28"/>
      <c r="H693" s="28"/>
      <c r="I693" s="29" t="str">
        <f t="shared" si="30"/>
        <v/>
      </c>
      <c r="J693" s="30" t="str">
        <f t="shared" si="31"/>
        <v/>
      </c>
      <c r="K693" s="26"/>
      <c r="L693" s="24" t="str">
        <f>IF(N693="","",IF(N693="T","Título de capítulo",IF(OR(ISERROR(F693),ISERROR(G693),ISERROR(H693)),"Error en fórmula: pegá como valores",IF(AND(B693="",$C$6=""),"Falta sector",IF(M693="","Falta capítulo",IF(TRIM(E693)="","Falta unidad",IF(NOT((COUNTIF(Listas!$A$2:$A$40,E693)+COUNTIF(Listas!$D$2:$D$60,E693)&gt;0)),"Unidad no reconocida",IF(AND(F693&lt;&gt;"",NOT(ISNUMBER(F693))),"Cantidad no es número",IF(N(F693)&lt;=0,"Falta cantidad",IF(OR(AND(G693&lt;&gt;"",NOT(ISNUMBER(G693))),AND(H693&lt;&gt;"",NOT(ISNUMBER(H693)))),"Precio no es número",IF(N(G693)+N(H693)&lt;=0,"Falta precio","✓ OK")))))))))))</f>
        <v/>
      </c>
      <c r="M693" t="str">
        <f>IF(N693&lt;&gt;"W","",IF(TRIM(C693)&lt;&gt;"",TRIM(C693),IFERROR(LOOKUP(2,1/(N$9:N693="T"),D$9:D693),"")))</f>
        <v/>
      </c>
      <c r="N693" t="str">
        <f t="shared" si="32"/>
        <v/>
      </c>
      <c r="O693" t="str">
        <f>IF(M693="","",IF(COUNTIF(M$9:M693,M693)=1,MAX(O$8:O692)+1,""))</f>
        <v/>
      </c>
    </row>
    <row r="694" spans="1:15" x14ac:dyDescent="0.75">
      <c r="A694" s="24" t="str">
        <f>IF(N694="W",COUNTIF(N$9:N694,"W"),"")</f>
        <v/>
      </c>
      <c r="B694" s="25"/>
      <c r="C694" s="25"/>
      <c r="D694" s="26"/>
      <c r="E694" s="25"/>
      <c r="F694" s="27"/>
      <c r="G694" s="28"/>
      <c r="H694" s="28"/>
      <c r="I694" s="29" t="str">
        <f t="shared" si="30"/>
        <v/>
      </c>
      <c r="J694" s="30" t="str">
        <f t="shared" si="31"/>
        <v/>
      </c>
      <c r="K694" s="26"/>
      <c r="L694" s="24" t="str">
        <f>IF(N694="","",IF(N694="T","Título de capítulo",IF(OR(ISERROR(F694),ISERROR(G694),ISERROR(H694)),"Error en fórmula: pegá como valores",IF(AND(B694="",$C$6=""),"Falta sector",IF(M694="","Falta capítulo",IF(TRIM(E694)="","Falta unidad",IF(NOT((COUNTIF(Listas!$A$2:$A$40,E694)+COUNTIF(Listas!$D$2:$D$60,E694)&gt;0)),"Unidad no reconocida",IF(AND(F694&lt;&gt;"",NOT(ISNUMBER(F694))),"Cantidad no es número",IF(N(F694)&lt;=0,"Falta cantidad",IF(OR(AND(G694&lt;&gt;"",NOT(ISNUMBER(G694))),AND(H694&lt;&gt;"",NOT(ISNUMBER(H694)))),"Precio no es número",IF(N(G694)+N(H694)&lt;=0,"Falta precio","✓ OK")))))))))))</f>
        <v/>
      </c>
      <c r="M694" t="str">
        <f>IF(N694&lt;&gt;"W","",IF(TRIM(C694)&lt;&gt;"",TRIM(C694),IFERROR(LOOKUP(2,1/(N$9:N694="T"),D$9:D694),"")))</f>
        <v/>
      </c>
      <c r="N694" t="str">
        <f t="shared" si="32"/>
        <v/>
      </c>
      <c r="O694" t="str">
        <f>IF(M694="","",IF(COUNTIF(M$9:M694,M694)=1,MAX(O$8:O693)+1,""))</f>
        <v/>
      </c>
    </row>
    <row r="695" spans="1:15" x14ac:dyDescent="0.75">
      <c r="A695" s="24" t="str">
        <f>IF(N695="W",COUNTIF(N$9:N695,"W"),"")</f>
        <v/>
      </c>
      <c r="B695" s="25"/>
      <c r="C695" s="25"/>
      <c r="D695" s="26"/>
      <c r="E695" s="25"/>
      <c r="F695" s="27"/>
      <c r="G695" s="28"/>
      <c r="H695" s="28"/>
      <c r="I695" s="29" t="str">
        <f t="shared" si="30"/>
        <v/>
      </c>
      <c r="J695" s="30" t="str">
        <f t="shared" si="31"/>
        <v/>
      </c>
      <c r="K695" s="26"/>
      <c r="L695" s="24" t="str">
        <f>IF(N695="","",IF(N695="T","Título de capítulo",IF(OR(ISERROR(F695),ISERROR(G695),ISERROR(H695)),"Error en fórmula: pegá como valores",IF(AND(B695="",$C$6=""),"Falta sector",IF(M695="","Falta capítulo",IF(TRIM(E695)="","Falta unidad",IF(NOT((COUNTIF(Listas!$A$2:$A$40,E695)+COUNTIF(Listas!$D$2:$D$60,E695)&gt;0)),"Unidad no reconocida",IF(AND(F695&lt;&gt;"",NOT(ISNUMBER(F695))),"Cantidad no es número",IF(N(F695)&lt;=0,"Falta cantidad",IF(OR(AND(G695&lt;&gt;"",NOT(ISNUMBER(G695))),AND(H695&lt;&gt;"",NOT(ISNUMBER(H695)))),"Precio no es número",IF(N(G695)+N(H695)&lt;=0,"Falta precio","✓ OK")))))))))))</f>
        <v/>
      </c>
      <c r="M695" t="str">
        <f>IF(N695&lt;&gt;"W","",IF(TRIM(C695)&lt;&gt;"",TRIM(C695),IFERROR(LOOKUP(2,1/(N$9:N695="T"),D$9:D695),"")))</f>
        <v/>
      </c>
      <c r="N695" t="str">
        <f t="shared" si="32"/>
        <v/>
      </c>
      <c r="O695" t="str">
        <f>IF(M695="","",IF(COUNTIF(M$9:M695,M695)=1,MAX(O$8:O694)+1,""))</f>
        <v/>
      </c>
    </row>
    <row r="696" spans="1:15" x14ac:dyDescent="0.75">
      <c r="A696" s="24" t="str">
        <f>IF(N696="W",COUNTIF(N$9:N696,"W"),"")</f>
        <v/>
      </c>
      <c r="B696" s="25"/>
      <c r="C696" s="25"/>
      <c r="D696" s="26"/>
      <c r="E696" s="25"/>
      <c r="F696" s="27"/>
      <c r="G696" s="28"/>
      <c r="H696" s="28"/>
      <c r="I696" s="29" t="str">
        <f t="shared" si="30"/>
        <v/>
      </c>
      <c r="J696" s="30" t="str">
        <f t="shared" si="31"/>
        <v/>
      </c>
      <c r="K696" s="26"/>
      <c r="L696" s="24" t="str">
        <f>IF(N696="","",IF(N696="T","Título de capítulo",IF(OR(ISERROR(F696),ISERROR(G696),ISERROR(H696)),"Error en fórmula: pegá como valores",IF(AND(B696="",$C$6=""),"Falta sector",IF(M696="","Falta capítulo",IF(TRIM(E696)="","Falta unidad",IF(NOT((COUNTIF(Listas!$A$2:$A$40,E696)+COUNTIF(Listas!$D$2:$D$60,E696)&gt;0)),"Unidad no reconocida",IF(AND(F696&lt;&gt;"",NOT(ISNUMBER(F696))),"Cantidad no es número",IF(N(F696)&lt;=0,"Falta cantidad",IF(OR(AND(G696&lt;&gt;"",NOT(ISNUMBER(G696))),AND(H696&lt;&gt;"",NOT(ISNUMBER(H696)))),"Precio no es número",IF(N(G696)+N(H696)&lt;=0,"Falta precio","✓ OK")))))))))))</f>
        <v/>
      </c>
      <c r="M696" t="str">
        <f>IF(N696&lt;&gt;"W","",IF(TRIM(C696)&lt;&gt;"",TRIM(C696),IFERROR(LOOKUP(2,1/(N$9:N696="T"),D$9:D696),"")))</f>
        <v/>
      </c>
      <c r="N696" t="str">
        <f t="shared" si="32"/>
        <v/>
      </c>
      <c r="O696" t="str">
        <f>IF(M696="","",IF(COUNTIF(M$9:M696,M696)=1,MAX(O$8:O695)+1,""))</f>
        <v/>
      </c>
    </row>
    <row r="697" spans="1:15" x14ac:dyDescent="0.75">
      <c r="A697" s="24" t="str">
        <f>IF(N697="W",COUNTIF(N$9:N697,"W"),"")</f>
        <v/>
      </c>
      <c r="B697" s="25"/>
      <c r="C697" s="25"/>
      <c r="D697" s="26"/>
      <c r="E697" s="25"/>
      <c r="F697" s="27"/>
      <c r="G697" s="28"/>
      <c r="H697" s="28"/>
      <c r="I697" s="29" t="str">
        <f t="shared" si="30"/>
        <v/>
      </c>
      <c r="J697" s="30" t="str">
        <f t="shared" si="31"/>
        <v/>
      </c>
      <c r="K697" s="26"/>
      <c r="L697" s="24" t="str">
        <f>IF(N697="","",IF(N697="T","Título de capítulo",IF(OR(ISERROR(F697),ISERROR(G697),ISERROR(H697)),"Error en fórmula: pegá como valores",IF(AND(B697="",$C$6=""),"Falta sector",IF(M697="","Falta capítulo",IF(TRIM(E697)="","Falta unidad",IF(NOT((COUNTIF(Listas!$A$2:$A$40,E697)+COUNTIF(Listas!$D$2:$D$60,E697)&gt;0)),"Unidad no reconocida",IF(AND(F697&lt;&gt;"",NOT(ISNUMBER(F697))),"Cantidad no es número",IF(N(F697)&lt;=0,"Falta cantidad",IF(OR(AND(G697&lt;&gt;"",NOT(ISNUMBER(G697))),AND(H697&lt;&gt;"",NOT(ISNUMBER(H697)))),"Precio no es número",IF(N(G697)+N(H697)&lt;=0,"Falta precio","✓ OK")))))))))))</f>
        <v/>
      </c>
      <c r="M697" t="str">
        <f>IF(N697&lt;&gt;"W","",IF(TRIM(C697)&lt;&gt;"",TRIM(C697),IFERROR(LOOKUP(2,1/(N$9:N697="T"),D$9:D697),"")))</f>
        <v/>
      </c>
      <c r="N697" t="str">
        <f t="shared" si="32"/>
        <v/>
      </c>
      <c r="O697" t="str">
        <f>IF(M697="","",IF(COUNTIF(M$9:M697,M697)=1,MAX(O$8:O696)+1,""))</f>
        <v/>
      </c>
    </row>
    <row r="698" spans="1:15" x14ac:dyDescent="0.75">
      <c r="A698" s="24" t="str">
        <f>IF(N698="W",COUNTIF(N$9:N698,"W"),"")</f>
        <v/>
      </c>
      <c r="B698" s="25"/>
      <c r="C698" s="25"/>
      <c r="D698" s="26"/>
      <c r="E698" s="25"/>
      <c r="F698" s="27"/>
      <c r="G698" s="28"/>
      <c r="H698" s="28"/>
      <c r="I698" s="29" t="str">
        <f t="shared" si="30"/>
        <v/>
      </c>
      <c r="J698" s="30" t="str">
        <f t="shared" si="31"/>
        <v/>
      </c>
      <c r="K698" s="26"/>
      <c r="L698" s="24" t="str">
        <f>IF(N698="","",IF(N698="T","Título de capítulo",IF(OR(ISERROR(F698),ISERROR(G698),ISERROR(H698)),"Error en fórmula: pegá como valores",IF(AND(B698="",$C$6=""),"Falta sector",IF(M698="","Falta capítulo",IF(TRIM(E698)="","Falta unidad",IF(NOT((COUNTIF(Listas!$A$2:$A$40,E698)+COUNTIF(Listas!$D$2:$D$60,E698)&gt;0)),"Unidad no reconocida",IF(AND(F698&lt;&gt;"",NOT(ISNUMBER(F698))),"Cantidad no es número",IF(N(F698)&lt;=0,"Falta cantidad",IF(OR(AND(G698&lt;&gt;"",NOT(ISNUMBER(G698))),AND(H698&lt;&gt;"",NOT(ISNUMBER(H698)))),"Precio no es número",IF(N(G698)+N(H698)&lt;=0,"Falta precio","✓ OK")))))))))))</f>
        <v/>
      </c>
      <c r="M698" t="str">
        <f>IF(N698&lt;&gt;"W","",IF(TRIM(C698)&lt;&gt;"",TRIM(C698),IFERROR(LOOKUP(2,1/(N$9:N698="T"),D$9:D698),"")))</f>
        <v/>
      </c>
      <c r="N698" t="str">
        <f t="shared" si="32"/>
        <v/>
      </c>
      <c r="O698" t="str">
        <f>IF(M698="","",IF(COUNTIF(M$9:M698,M698)=1,MAX(O$8:O697)+1,""))</f>
        <v/>
      </c>
    </row>
    <row r="699" spans="1:15" x14ac:dyDescent="0.75">
      <c r="A699" s="24" t="str">
        <f>IF(N699="W",COUNTIF(N$9:N699,"W"),"")</f>
        <v/>
      </c>
      <c r="B699" s="25"/>
      <c r="C699" s="25"/>
      <c r="D699" s="26"/>
      <c r="E699" s="25"/>
      <c r="F699" s="27"/>
      <c r="G699" s="28"/>
      <c r="H699" s="28"/>
      <c r="I699" s="29" t="str">
        <f t="shared" si="30"/>
        <v/>
      </c>
      <c r="J699" s="30" t="str">
        <f t="shared" si="31"/>
        <v/>
      </c>
      <c r="K699" s="26"/>
      <c r="L699" s="24" t="str">
        <f>IF(N699="","",IF(N699="T","Título de capítulo",IF(OR(ISERROR(F699),ISERROR(G699),ISERROR(H699)),"Error en fórmula: pegá como valores",IF(AND(B699="",$C$6=""),"Falta sector",IF(M699="","Falta capítulo",IF(TRIM(E699)="","Falta unidad",IF(NOT((COUNTIF(Listas!$A$2:$A$40,E699)+COUNTIF(Listas!$D$2:$D$60,E699)&gt;0)),"Unidad no reconocida",IF(AND(F699&lt;&gt;"",NOT(ISNUMBER(F699))),"Cantidad no es número",IF(N(F699)&lt;=0,"Falta cantidad",IF(OR(AND(G699&lt;&gt;"",NOT(ISNUMBER(G699))),AND(H699&lt;&gt;"",NOT(ISNUMBER(H699)))),"Precio no es número",IF(N(G699)+N(H699)&lt;=0,"Falta precio","✓ OK")))))))))))</f>
        <v/>
      </c>
      <c r="M699" t="str">
        <f>IF(N699&lt;&gt;"W","",IF(TRIM(C699)&lt;&gt;"",TRIM(C699),IFERROR(LOOKUP(2,1/(N$9:N699="T"),D$9:D699),"")))</f>
        <v/>
      </c>
      <c r="N699" t="str">
        <f t="shared" si="32"/>
        <v/>
      </c>
      <c r="O699" t="str">
        <f>IF(M699="","",IF(COUNTIF(M$9:M699,M699)=1,MAX(O$8:O698)+1,""))</f>
        <v/>
      </c>
    </row>
    <row r="700" spans="1:15" x14ac:dyDescent="0.75">
      <c r="A700" s="24" t="str">
        <f>IF(N700="W",COUNTIF(N$9:N700,"W"),"")</f>
        <v/>
      </c>
      <c r="B700" s="25"/>
      <c r="C700" s="25"/>
      <c r="D700" s="26"/>
      <c r="E700" s="25"/>
      <c r="F700" s="27"/>
      <c r="G700" s="28"/>
      <c r="H700" s="28"/>
      <c r="I700" s="29" t="str">
        <f t="shared" si="30"/>
        <v/>
      </c>
      <c r="J700" s="30" t="str">
        <f t="shared" si="31"/>
        <v/>
      </c>
      <c r="K700" s="26"/>
      <c r="L700" s="24" t="str">
        <f>IF(N700="","",IF(N700="T","Título de capítulo",IF(OR(ISERROR(F700),ISERROR(G700),ISERROR(H700)),"Error en fórmula: pegá como valores",IF(AND(B700="",$C$6=""),"Falta sector",IF(M700="","Falta capítulo",IF(TRIM(E700)="","Falta unidad",IF(NOT((COUNTIF(Listas!$A$2:$A$40,E700)+COUNTIF(Listas!$D$2:$D$60,E700)&gt;0)),"Unidad no reconocida",IF(AND(F700&lt;&gt;"",NOT(ISNUMBER(F700))),"Cantidad no es número",IF(N(F700)&lt;=0,"Falta cantidad",IF(OR(AND(G700&lt;&gt;"",NOT(ISNUMBER(G700))),AND(H700&lt;&gt;"",NOT(ISNUMBER(H700)))),"Precio no es número",IF(N(G700)+N(H700)&lt;=0,"Falta precio","✓ OK")))))))))))</f>
        <v/>
      </c>
      <c r="M700" t="str">
        <f>IF(N700&lt;&gt;"W","",IF(TRIM(C700)&lt;&gt;"",TRIM(C700),IFERROR(LOOKUP(2,1/(N$9:N700="T"),D$9:D700),"")))</f>
        <v/>
      </c>
      <c r="N700" t="str">
        <f t="shared" si="32"/>
        <v/>
      </c>
      <c r="O700" t="str">
        <f>IF(M700="","",IF(COUNTIF(M$9:M700,M700)=1,MAX(O$8:O699)+1,""))</f>
        <v/>
      </c>
    </row>
    <row r="701" spans="1:15" x14ac:dyDescent="0.75">
      <c r="A701" s="24" t="str">
        <f>IF(N701="W",COUNTIF(N$9:N701,"W"),"")</f>
        <v/>
      </c>
      <c r="B701" s="25"/>
      <c r="C701" s="25"/>
      <c r="D701" s="26"/>
      <c r="E701" s="25"/>
      <c r="F701" s="27"/>
      <c r="G701" s="28"/>
      <c r="H701" s="28"/>
      <c r="I701" s="29" t="str">
        <f t="shared" si="30"/>
        <v/>
      </c>
      <c r="J701" s="30" t="str">
        <f t="shared" si="31"/>
        <v/>
      </c>
      <c r="K701" s="26"/>
      <c r="L701" s="24" t="str">
        <f>IF(N701="","",IF(N701="T","Título de capítulo",IF(OR(ISERROR(F701),ISERROR(G701),ISERROR(H701)),"Error en fórmula: pegá como valores",IF(AND(B701="",$C$6=""),"Falta sector",IF(M701="","Falta capítulo",IF(TRIM(E701)="","Falta unidad",IF(NOT((COUNTIF(Listas!$A$2:$A$40,E701)+COUNTIF(Listas!$D$2:$D$60,E701)&gt;0)),"Unidad no reconocida",IF(AND(F701&lt;&gt;"",NOT(ISNUMBER(F701))),"Cantidad no es número",IF(N(F701)&lt;=0,"Falta cantidad",IF(OR(AND(G701&lt;&gt;"",NOT(ISNUMBER(G701))),AND(H701&lt;&gt;"",NOT(ISNUMBER(H701)))),"Precio no es número",IF(N(G701)+N(H701)&lt;=0,"Falta precio","✓ OK")))))))))))</f>
        <v/>
      </c>
      <c r="M701" t="str">
        <f>IF(N701&lt;&gt;"W","",IF(TRIM(C701)&lt;&gt;"",TRIM(C701),IFERROR(LOOKUP(2,1/(N$9:N701="T"),D$9:D701),"")))</f>
        <v/>
      </c>
      <c r="N701" t="str">
        <f t="shared" si="32"/>
        <v/>
      </c>
      <c r="O701" t="str">
        <f>IF(M701="","",IF(COUNTIF(M$9:M701,M701)=1,MAX(O$8:O700)+1,""))</f>
        <v/>
      </c>
    </row>
    <row r="702" spans="1:15" x14ac:dyDescent="0.75">
      <c r="A702" s="24" t="str">
        <f>IF(N702="W",COUNTIF(N$9:N702,"W"),"")</f>
        <v/>
      </c>
      <c r="B702" s="25"/>
      <c r="C702" s="25"/>
      <c r="D702" s="26"/>
      <c r="E702" s="25"/>
      <c r="F702" s="27"/>
      <c r="G702" s="28"/>
      <c r="H702" s="28"/>
      <c r="I702" s="29" t="str">
        <f t="shared" si="30"/>
        <v/>
      </c>
      <c r="J702" s="30" t="str">
        <f t="shared" si="31"/>
        <v/>
      </c>
      <c r="K702" s="26"/>
      <c r="L702" s="24" t="str">
        <f>IF(N702="","",IF(N702="T","Título de capítulo",IF(OR(ISERROR(F702),ISERROR(G702),ISERROR(H702)),"Error en fórmula: pegá como valores",IF(AND(B702="",$C$6=""),"Falta sector",IF(M702="","Falta capítulo",IF(TRIM(E702)="","Falta unidad",IF(NOT((COUNTIF(Listas!$A$2:$A$40,E702)+COUNTIF(Listas!$D$2:$D$60,E702)&gt;0)),"Unidad no reconocida",IF(AND(F702&lt;&gt;"",NOT(ISNUMBER(F702))),"Cantidad no es número",IF(N(F702)&lt;=0,"Falta cantidad",IF(OR(AND(G702&lt;&gt;"",NOT(ISNUMBER(G702))),AND(H702&lt;&gt;"",NOT(ISNUMBER(H702)))),"Precio no es número",IF(N(G702)+N(H702)&lt;=0,"Falta precio","✓ OK")))))))))))</f>
        <v/>
      </c>
      <c r="M702" t="str">
        <f>IF(N702&lt;&gt;"W","",IF(TRIM(C702)&lt;&gt;"",TRIM(C702),IFERROR(LOOKUP(2,1/(N$9:N702="T"),D$9:D702),"")))</f>
        <v/>
      </c>
      <c r="N702" t="str">
        <f t="shared" si="32"/>
        <v/>
      </c>
      <c r="O702" t="str">
        <f>IF(M702="","",IF(COUNTIF(M$9:M702,M702)=1,MAX(O$8:O701)+1,""))</f>
        <v/>
      </c>
    </row>
    <row r="703" spans="1:15" x14ac:dyDescent="0.75">
      <c r="A703" s="24" t="str">
        <f>IF(N703="W",COUNTIF(N$9:N703,"W"),"")</f>
        <v/>
      </c>
      <c r="B703" s="25"/>
      <c r="C703" s="25"/>
      <c r="D703" s="26"/>
      <c r="E703" s="25"/>
      <c r="F703" s="27"/>
      <c r="G703" s="28"/>
      <c r="H703" s="28"/>
      <c r="I703" s="29" t="str">
        <f t="shared" si="30"/>
        <v/>
      </c>
      <c r="J703" s="30" t="str">
        <f t="shared" si="31"/>
        <v/>
      </c>
      <c r="K703" s="26"/>
      <c r="L703" s="24" t="str">
        <f>IF(N703="","",IF(N703="T","Título de capítulo",IF(OR(ISERROR(F703),ISERROR(G703),ISERROR(H703)),"Error en fórmula: pegá como valores",IF(AND(B703="",$C$6=""),"Falta sector",IF(M703="","Falta capítulo",IF(TRIM(E703)="","Falta unidad",IF(NOT((COUNTIF(Listas!$A$2:$A$40,E703)+COUNTIF(Listas!$D$2:$D$60,E703)&gt;0)),"Unidad no reconocida",IF(AND(F703&lt;&gt;"",NOT(ISNUMBER(F703))),"Cantidad no es número",IF(N(F703)&lt;=0,"Falta cantidad",IF(OR(AND(G703&lt;&gt;"",NOT(ISNUMBER(G703))),AND(H703&lt;&gt;"",NOT(ISNUMBER(H703)))),"Precio no es número",IF(N(G703)+N(H703)&lt;=0,"Falta precio","✓ OK")))))))))))</f>
        <v/>
      </c>
      <c r="M703" t="str">
        <f>IF(N703&lt;&gt;"W","",IF(TRIM(C703)&lt;&gt;"",TRIM(C703),IFERROR(LOOKUP(2,1/(N$9:N703="T"),D$9:D703),"")))</f>
        <v/>
      </c>
      <c r="N703" t="str">
        <f t="shared" si="32"/>
        <v/>
      </c>
      <c r="O703" t="str">
        <f>IF(M703="","",IF(COUNTIF(M$9:M703,M703)=1,MAX(O$8:O702)+1,""))</f>
        <v/>
      </c>
    </row>
    <row r="704" spans="1:15" x14ac:dyDescent="0.75">
      <c r="A704" s="24" t="str">
        <f>IF(N704="W",COUNTIF(N$9:N704,"W"),"")</f>
        <v/>
      </c>
      <c r="B704" s="25"/>
      <c r="C704" s="25"/>
      <c r="D704" s="26"/>
      <c r="E704" s="25"/>
      <c r="F704" s="27"/>
      <c r="G704" s="28"/>
      <c r="H704" s="28"/>
      <c r="I704" s="29" t="str">
        <f t="shared" si="30"/>
        <v/>
      </c>
      <c r="J704" s="30" t="str">
        <f t="shared" si="31"/>
        <v/>
      </c>
      <c r="K704" s="26"/>
      <c r="L704" s="24" t="str">
        <f>IF(N704="","",IF(N704="T","Título de capítulo",IF(OR(ISERROR(F704),ISERROR(G704),ISERROR(H704)),"Error en fórmula: pegá como valores",IF(AND(B704="",$C$6=""),"Falta sector",IF(M704="","Falta capítulo",IF(TRIM(E704)="","Falta unidad",IF(NOT((COUNTIF(Listas!$A$2:$A$40,E704)+COUNTIF(Listas!$D$2:$D$60,E704)&gt;0)),"Unidad no reconocida",IF(AND(F704&lt;&gt;"",NOT(ISNUMBER(F704))),"Cantidad no es número",IF(N(F704)&lt;=0,"Falta cantidad",IF(OR(AND(G704&lt;&gt;"",NOT(ISNUMBER(G704))),AND(H704&lt;&gt;"",NOT(ISNUMBER(H704)))),"Precio no es número",IF(N(G704)+N(H704)&lt;=0,"Falta precio","✓ OK")))))))))))</f>
        <v/>
      </c>
      <c r="M704" t="str">
        <f>IF(N704&lt;&gt;"W","",IF(TRIM(C704)&lt;&gt;"",TRIM(C704),IFERROR(LOOKUP(2,1/(N$9:N704="T"),D$9:D704),"")))</f>
        <v/>
      </c>
      <c r="N704" t="str">
        <f t="shared" si="32"/>
        <v/>
      </c>
      <c r="O704" t="str">
        <f>IF(M704="","",IF(COUNTIF(M$9:M704,M704)=1,MAX(O$8:O703)+1,""))</f>
        <v/>
      </c>
    </row>
    <row r="705" spans="1:15" x14ac:dyDescent="0.75">
      <c r="A705" s="24" t="str">
        <f>IF(N705="W",COUNTIF(N$9:N705,"W"),"")</f>
        <v/>
      </c>
      <c r="B705" s="25"/>
      <c r="C705" s="25"/>
      <c r="D705" s="26"/>
      <c r="E705" s="25"/>
      <c r="F705" s="27"/>
      <c r="G705" s="28"/>
      <c r="H705" s="28"/>
      <c r="I705" s="29" t="str">
        <f t="shared" si="30"/>
        <v/>
      </c>
      <c r="J705" s="30" t="str">
        <f t="shared" si="31"/>
        <v/>
      </c>
      <c r="K705" s="26"/>
      <c r="L705" s="24" t="str">
        <f>IF(N705="","",IF(N705="T","Título de capítulo",IF(OR(ISERROR(F705),ISERROR(G705),ISERROR(H705)),"Error en fórmula: pegá como valores",IF(AND(B705="",$C$6=""),"Falta sector",IF(M705="","Falta capítulo",IF(TRIM(E705)="","Falta unidad",IF(NOT((COUNTIF(Listas!$A$2:$A$40,E705)+COUNTIF(Listas!$D$2:$D$60,E705)&gt;0)),"Unidad no reconocida",IF(AND(F705&lt;&gt;"",NOT(ISNUMBER(F705))),"Cantidad no es número",IF(N(F705)&lt;=0,"Falta cantidad",IF(OR(AND(G705&lt;&gt;"",NOT(ISNUMBER(G705))),AND(H705&lt;&gt;"",NOT(ISNUMBER(H705)))),"Precio no es número",IF(N(G705)+N(H705)&lt;=0,"Falta precio","✓ OK")))))))))))</f>
        <v/>
      </c>
      <c r="M705" t="str">
        <f>IF(N705&lt;&gt;"W","",IF(TRIM(C705)&lt;&gt;"",TRIM(C705),IFERROR(LOOKUP(2,1/(N$9:N705="T"),D$9:D705),"")))</f>
        <v/>
      </c>
      <c r="N705" t="str">
        <f t="shared" si="32"/>
        <v/>
      </c>
      <c r="O705" t="str">
        <f>IF(M705="","",IF(COUNTIF(M$9:M705,M705)=1,MAX(O$8:O704)+1,""))</f>
        <v/>
      </c>
    </row>
    <row r="706" spans="1:15" x14ac:dyDescent="0.75">
      <c r="A706" s="24" t="str">
        <f>IF(N706="W",COUNTIF(N$9:N706,"W"),"")</f>
        <v/>
      </c>
      <c r="B706" s="25"/>
      <c r="C706" s="25"/>
      <c r="D706" s="26"/>
      <c r="E706" s="25"/>
      <c r="F706" s="27"/>
      <c r="G706" s="28"/>
      <c r="H706" s="28"/>
      <c r="I706" s="29" t="str">
        <f t="shared" si="30"/>
        <v/>
      </c>
      <c r="J706" s="30" t="str">
        <f t="shared" si="31"/>
        <v/>
      </c>
      <c r="K706" s="26"/>
      <c r="L706" s="24" t="str">
        <f>IF(N706="","",IF(N706="T","Título de capítulo",IF(OR(ISERROR(F706),ISERROR(G706),ISERROR(H706)),"Error en fórmula: pegá como valores",IF(AND(B706="",$C$6=""),"Falta sector",IF(M706="","Falta capítulo",IF(TRIM(E706)="","Falta unidad",IF(NOT((COUNTIF(Listas!$A$2:$A$40,E706)+COUNTIF(Listas!$D$2:$D$60,E706)&gt;0)),"Unidad no reconocida",IF(AND(F706&lt;&gt;"",NOT(ISNUMBER(F706))),"Cantidad no es número",IF(N(F706)&lt;=0,"Falta cantidad",IF(OR(AND(G706&lt;&gt;"",NOT(ISNUMBER(G706))),AND(H706&lt;&gt;"",NOT(ISNUMBER(H706)))),"Precio no es número",IF(N(G706)+N(H706)&lt;=0,"Falta precio","✓ OK")))))))))))</f>
        <v/>
      </c>
      <c r="M706" t="str">
        <f>IF(N706&lt;&gt;"W","",IF(TRIM(C706)&lt;&gt;"",TRIM(C706),IFERROR(LOOKUP(2,1/(N$9:N706="T"),D$9:D706),"")))</f>
        <v/>
      </c>
      <c r="N706" t="str">
        <f t="shared" si="32"/>
        <v/>
      </c>
      <c r="O706" t="str">
        <f>IF(M706="","",IF(COUNTIF(M$9:M706,M706)=1,MAX(O$8:O705)+1,""))</f>
        <v/>
      </c>
    </row>
    <row r="707" spans="1:15" x14ac:dyDescent="0.75">
      <c r="A707" s="24" t="str">
        <f>IF(N707="W",COUNTIF(N$9:N707,"W"),"")</f>
        <v/>
      </c>
      <c r="B707" s="25"/>
      <c r="C707" s="25"/>
      <c r="D707" s="26"/>
      <c r="E707" s="25"/>
      <c r="F707" s="27"/>
      <c r="G707" s="28"/>
      <c r="H707" s="28"/>
      <c r="I707" s="29" t="str">
        <f t="shared" si="30"/>
        <v/>
      </c>
      <c r="J707" s="30" t="str">
        <f t="shared" si="31"/>
        <v/>
      </c>
      <c r="K707" s="26"/>
      <c r="L707" s="24" t="str">
        <f>IF(N707="","",IF(N707="T","Título de capítulo",IF(OR(ISERROR(F707),ISERROR(G707),ISERROR(H707)),"Error en fórmula: pegá como valores",IF(AND(B707="",$C$6=""),"Falta sector",IF(M707="","Falta capítulo",IF(TRIM(E707)="","Falta unidad",IF(NOT((COUNTIF(Listas!$A$2:$A$40,E707)+COUNTIF(Listas!$D$2:$D$60,E707)&gt;0)),"Unidad no reconocida",IF(AND(F707&lt;&gt;"",NOT(ISNUMBER(F707))),"Cantidad no es número",IF(N(F707)&lt;=0,"Falta cantidad",IF(OR(AND(G707&lt;&gt;"",NOT(ISNUMBER(G707))),AND(H707&lt;&gt;"",NOT(ISNUMBER(H707)))),"Precio no es número",IF(N(G707)+N(H707)&lt;=0,"Falta precio","✓ OK")))))))))))</f>
        <v/>
      </c>
      <c r="M707" t="str">
        <f>IF(N707&lt;&gt;"W","",IF(TRIM(C707)&lt;&gt;"",TRIM(C707),IFERROR(LOOKUP(2,1/(N$9:N707="T"),D$9:D707),"")))</f>
        <v/>
      </c>
      <c r="N707" t="str">
        <f t="shared" si="32"/>
        <v/>
      </c>
      <c r="O707" t="str">
        <f>IF(M707="","",IF(COUNTIF(M$9:M707,M707)=1,MAX(O$8:O706)+1,""))</f>
        <v/>
      </c>
    </row>
    <row r="708" spans="1:15" x14ac:dyDescent="0.75">
      <c r="A708" s="24" t="str">
        <f>IF(N708="W",COUNTIF(N$9:N708,"W"),"")</f>
        <v/>
      </c>
      <c r="B708" s="25"/>
      <c r="C708" s="25"/>
      <c r="D708" s="26"/>
      <c r="E708" s="25"/>
      <c r="F708" s="27"/>
      <c r="G708" s="28"/>
      <c r="H708" s="28"/>
      <c r="I708" s="29" t="str">
        <f t="shared" si="30"/>
        <v/>
      </c>
      <c r="J708" s="30" t="str">
        <f t="shared" si="31"/>
        <v/>
      </c>
      <c r="K708" s="26"/>
      <c r="L708" s="24" t="str">
        <f>IF(N708="","",IF(N708="T","Título de capítulo",IF(OR(ISERROR(F708),ISERROR(G708),ISERROR(H708)),"Error en fórmula: pegá como valores",IF(AND(B708="",$C$6=""),"Falta sector",IF(M708="","Falta capítulo",IF(TRIM(E708)="","Falta unidad",IF(NOT((COUNTIF(Listas!$A$2:$A$40,E708)+COUNTIF(Listas!$D$2:$D$60,E708)&gt;0)),"Unidad no reconocida",IF(AND(F708&lt;&gt;"",NOT(ISNUMBER(F708))),"Cantidad no es número",IF(N(F708)&lt;=0,"Falta cantidad",IF(OR(AND(G708&lt;&gt;"",NOT(ISNUMBER(G708))),AND(H708&lt;&gt;"",NOT(ISNUMBER(H708)))),"Precio no es número",IF(N(G708)+N(H708)&lt;=0,"Falta precio","✓ OK")))))))))))</f>
        <v/>
      </c>
      <c r="M708" t="str">
        <f>IF(N708&lt;&gt;"W","",IF(TRIM(C708)&lt;&gt;"",TRIM(C708),IFERROR(LOOKUP(2,1/(N$9:N708="T"),D$9:D708),"")))</f>
        <v/>
      </c>
      <c r="N708" t="str">
        <f t="shared" si="32"/>
        <v/>
      </c>
      <c r="O708" t="str">
        <f>IF(M708="","",IF(COUNTIF(M$9:M708,M708)=1,MAX(O$8:O707)+1,""))</f>
        <v/>
      </c>
    </row>
    <row r="709" spans="1:15" x14ac:dyDescent="0.75">
      <c r="A709" s="24" t="str">
        <f>IF(N709="W",COUNTIF(N$9:N709,"W"),"")</f>
        <v/>
      </c>
      <c r="B709" s="25"/>
      <c r="C709" s="25"/>
      <c r="D709" s="26"/>
      <c r="E709" s="25"/>
      <c r="F709" s="27"/>
      <c r="G709" s="28"/>
      <c r="H709" s="28"/>
      <c r="I709" s="29" t="str">
        <f t="shared" si="30"/>
        <v/>
      </c>
      <c r="J709" s="30" t="str">
        <f t="shared" si="31"/>
        <v/>
      </c>
      <c r="K709" s="26"/>
      <c r="L709" s="24" t="str">
        <f>IF(N709="","",IF(N709="T","Título de capítulo",IF(OR(ISERROR(F709),ISERROR(G709),ISERROR(H709)),"Error en fórmula: pegá como valores",IF(AND(B709="",$C$6=""),"Falta sector",IF(M709="","Falta capítulo",IF(TRIM(E709)="","Falta unidad",IF(NOT((COUNTIF(Listas!$A$2:$A$40,E709)+COUNTIF(Listas!$D$2:$D$60,E709)&gt;0)),"Unidad no reconocida",IF(AND(F709&lt;&gt;"",NOT(ISNUMBER(F709))),"Cantidad no es número",IF(N(F709)&lt;=0,"Falta cantidad",IF(OR(AND(G709&lt;&gt;"",NOT(ISNUMBER(G709))),AND(H709&lt;&gt;"",NOT(ISNUMBER(H709)))),"Precio no es número",IF(N(G709)+N(H709)&lt;=0,"Falta precio","✓ OK")))))))))))</f>
        <v/>
      </c>
      <c r="M709" t="str">
        <f>IF(N709&lt;&gt;"W","",IF(TRIM(C709)&lt;&gt;"",TRIM(C709),IFERROR(LOOKUP(2,1/(N$9:N709="T"),D$9:D709),"")))</f>
        <v/>
      </c>
      <c r="N709" t="str">
        <f t="shared" si="32"/>
        <v/>
      </c>
      <c r="O709" t="str">
        <f>IF(M709="","",IF(COUNTIF(M$9:M709,M709)=1,MAX(O$8:O708)+1,""))</f>
        <v/>
      </c>
    </row>
    <row r="710" spans="1:15" x14ac:dyDescent="0.75">
      <c r="A710" s="24" t="str">
        <f>IF(N710="W",COUNTIF(N$9:N710,"W"),"")</f>
        <v/>
      </c>
      <c r="B710" s="25"/>
      <c r="C710" s="25"/>
      <c r="D710" s="26"/>
      <c r="E710" s="25"/>
      <c r="F710" s="27"/>
      <c r="G710" s="28"/>
      <c r="H710" s="28"/>
      <c r="I710" s="29" t="str">
        <f t="shared" si="30"/>
        <v/>
      </c>
      <c r="J710" s="30" t="str">
        <f t="shared" si="31"/>
        <v/>
      </c>
      <c r="K710" s="26"/>
      <c r="L710" s="24" t="str">
        <f>IF(N710="","",IF(N710="T","Título de capítulo",IF(OR(ISERROR(F710),ISERROR(G710),ISERROR(H710)),"Error en fórmula: pegá como valores",IF(AND(B710="",$C$6=""),"Falta sector",IF(M710="","Falta capítulo",IF(TRIM(E710)="","Falta unidad",IF(NOT((COUNTIF(Listas!$A$2:$A$40,E710)+COUNTIF(Listas!$D$2:$D$60,E710)&gt;0)),"Unidad no reconocida",IF(AND(F710&lt;&gt;"",NOT(ISNUMBER(F710))),"Cantidad no es número",IF(N(F710)&lt;=0,"Falta cantidad",IF(OR(AND(G710&lt;&gt;"",NOT(ISNUMBER(G710))),AND(H710&lt;&gt;"",NOT(ISNUMBER(H710)))),"Precio no es número",IF(N(G710)+N(H710)&lt;=0,"Falta precio","✓ OK")))))))))))</f>
        <v/>
      </c>
      <c r="M710" t="str">
        <f>IF(N710&lt;&gt;"W","",IF(TRIM(C710)&lt;&gt;"",TRIM(C710),IFERROR(LOOKUP(2,1/(N$9:N710="T"),D$9:D710),"")))</f>
        <v/>
      </c>
      <c r="N710" t="str">
        <f t="shared" si="32"/>
        <v/>
      </c>
      <c r="O710" t="str">
        <f>IF(M710="","",IF(COUNTIF(M$9:M710,M710)=1,MAX(O$8:O709)+1,""))</f>
        <v/>
      </c>
    </row>
    <row r="711" spans="1:15" x14ac:dyDescent="0.75">
      <c r="A711" s="24" t="str">
        <f>IF(N711="W",COUNTIF(N$9:N711,"W"),"")</f>
        <v/>
      </c>
      <c r="B711" s="25"/>
      <c r="C711" s="25"/>
      <c r="D711" s="26"/>
      <c r="E711" s="25"/>
      <c r="F711" s="27"/>
      <c r="G711" s="28"/>
      <c r="H711" s="28"/>
      <c r="I711" s="29" t="str">
        <f t="shared" si="30"/>
        <v/>
      </c>
      <c r="J711" s="30" t="str">
        <f t="shared" si="31"/>
        <v/>
      </c>
      <c r="K711" s="26"/>
      <c r="L711" s="24" t="str">
        <f>IF(N711="","",IF(N711="T","Título de capítulo",IF(OR(ISERROR(F711),ISERROR(G711),ISERROR(H711)),"Error en fórmula: pegá como valores",IF(AND(B711="",$C$6=""),"Falta sector",IF(M711="","Falta capítulo",IF(TRIM(E711)="","Falta unidad",IF(NOT((COUNTIF(Listas!$A$2:$A$40,E711)+COUNTIF(Listas!$D$2:$D$60,E711)&gt;0)),"Unidad no reconocida",IF(AND(F711&lt;&gt;"",NOT(ISNUMBER(F711))),"Cantidad no es número",IF(N(F711)&lt;=0,"Falta cantidad",IF(OR(AND(G711&lt;&gt;"",NOT(ISNUMBER(G711))),AND(H711&lt;&gt;"",NOT(ISNUMBER(H711)))),"Precio no es número",IF(N(G711)+N(H711)&lt;=0,"Falta precio","✓ OK")))))))))))</f>
        <v/>
      </c>
      <c r="M711" t="str">
        <f>IF(N711&lt;&gt;"W","",IF(TRIM(C711)&lt;&gt;"",TRIM(C711),IFERROR(LOOKUP(2,1/(N$9:N711="T"),D$9:D711),"")))</f>
        <v/>
      </c>
      <c r="N711" t="str">
        <f t="shared" si="32"/>
        <v/>
      </c>
      <c r="O711" t="str">
        <f>IF(M711="","",IF(COUNTIF(M$9:M711,M711)=1,MAX(O$8:O710)+1,""))</f>
        <v/>
      </c>
    </row>
    <row r="712" spans="1:15" x14ac:dyDescent="0.75">
      <c r="A712" s="24" t="str">
        <f>IF(N712="W",COUNTIF(N$9:N712,"W"),"")</f>
        <v/>
      </c>
      <c r="B712" s="25"/>
      <c r="C712" s="25"/>
      <c r="D712" s="26"/>
      <c r="E712" s="25"/>
      <c r="F712" s="27"/>
      <c r="G712" s="28"/>
      <c r="H712" s="28"/>
      <c r="I712" s="29" t="str">
        <f t="shared" si="30"/>
        <v/>
      </c>
      <c r="J712" s="30" t="str">
        <f t="shared" si="31"/>
        <v/>
      </c>
      <c r="K712" s="26"/>
      <c r="L712" s="24" t="str">
        <f>IF(N712="","",IF(N712="T","Título de capítulo",IF(OR(ISERROR(F712),ISERROR(G712),ISERROR(H712)),"Error en fórmula: pegá como valores",IF(AND(B712="",$C$6=""),"Falta sector",IF(M712="","Falta capítulo",IF(TRIM(E712)="","Falta unidad",IF(NOT((COUNTIF(Listas!$A$2:$A$40,E712)+COUNTIF(Listas!$D$2:$D$60,E712)&gt;0)),"Unidad no reconocida",IF(AND(F712&lt;&gt;"",NOT(ISNUMBER(F712))),"Cantidad no es número",IF(N(F712)&lt;=0,"Falta cantidad",IF(OR(AND(G712&lt;&gt;"",NOT(ISNUMBER(G712))),AND(H712&lt;&gt;"",NOT(ISNUMBER(H712)))),"Precio no es número",IF(N(G712)+N(H712)&lt;=0,"Falta precio","✓ OK")))))))))))</f>
        <v/>
      </c>
      <c r="M712" t="str">
        <f>IF(N712&lt;&gt;"W","",IF(TRIM(C712)&lt;&gt;"",TRIM(C712),IFERROR(LOOKUP(2,1/(N$9:N712="T"),D$9:D712),"")))</f>
        <v/>
      </c>
      <c r="N712" t="str">
        <f t="shared" si="32"/>
        <v/>
      </c>
      <c r="O712" t="str">
        <f>IF(M712="","",IF(COUNTIF(M$9:M712,M712)=1,MAX(O$8:O711)+1,""))</f>
        <v/>
      </c>
    </row>
    <row r="713" spans="1:15" x14ac:dyDescent="0.75">
      <c r="A713" s="24" t="str">
        <f>IF(N713="W",COUNTIF(N$9:N713,"W"),"")</f>
        <v/>
      </c>
      <c r="B713" s="25"/>
      <c r="C713" s="25"/>
      <c r="D713" s="26"/>
      <c r="E713" s="25"/>
      <c r="F713" s="27"/>
      <c r="G713" s="28"/>
      <c r="H713" s="28"/>
      <c r="I713" s="29" t="str">
        <f t="shared" ref="I713:I776" si="33">IF(N713="W",IFERROR(N(G713)+N(H713),0),"")</f>
        <v/>
      </c>
      <c r="J713" s="30" t="str">
        <f t="shared" ref="J713:J776" si="34">IF(N713="W",IFERROR(N(F713)*I713,0),"")</f>
        <v/>
      </c>
      <c r="K713" s="26"/>
      <c r="L713" s="24" t="str">
        <f>IF(N713="","",IF(N713="T","Título de capítulo",IF(OR(ISERROR(F713),ISERROR(G713),ISERROR(H713)),"Error en fórmula: pegá como valores",IF(AND(B713="",$C$6=""),"Falta sector",IF(M713="","Falta capítulo",IF(TRIM(E713)="","Falta unidad",IF(NOT((COUNTIF(Listas!$A$2:$A$40,E713)+COUNTIF(Listas!$D$2:$D$60,E713)&gt;0)),"Unidad no reconocida",IF(AND(F713&lt;&gt;"",NOT(ISNUMBER(F713))),"Cantidad no es número",IF(N(F713)&lt;=0,"Falta cantidad",IF(OR(AND(G713&lt;&gt;"",NOT(ISNUMBER(G713))),AND(H713&lt;&gt;"",NOT(ISNUMBER(H713)))),"Precio no es número",IF(N(G713)+N(H713)&lt;=0,"Falta precio","✓ OK")))))))))))</f>
        <v/>
      </c>
      <c r="M713" t="str">
        <f>IF(N713&lt;&gt;"W","",IF(TRIM(C713)&lt;&gt;"",TRIM(C713),IFERROR(LOOKUP(2,1/(N$9:N713="T"),D$9:D713),"")))</f>
        <v/>
      </c>
      <c r="N713" t="str">
        <f t="shared" ref="N713:N776" si="35">IF(TRIM(D713)="","",IF(AND(TRIM(E713)="",IFERROR(N(F713),1)=0,IFERROR(N(G713)+N(H713),1)=0),"T","W"))</f>
        <v/>
      </c>
      <c r="O713" t="str">
        <f>IF(M713="","",IF(COUNTIF(M$9:M713,M713)=1,MAX(O$8:O712)+1,""))</f>
        <v/>
      </c>
    </row>
    <row r="714" spans="1:15" x14ac:dyDescent="0.75">
      <c r="A714" s="24" t="str">
        <f>IF(N714="W",COUNTIF(N$9:N714,"W"),"")</f>
        <v/>
      </c>
      <c r="B714" s="25"/>
      <c r="C714" s="25"/>
      <c r="D714" s="26"/>
      <c r="E714" s="25"/>
      <c r="F714" s="27"/>
      <c r="G714" s="28"/>
      <c r="H714" s="28"/>
      <c r="I714" s="29" t="str">
        <f t="shared" si="33"/>
        <v/>
      </c>
      <c r="J714" s="30" t="str">
        <f t="shared" si="34"/>
        <v/>
      </c>
      <c r="K714" s="26"/>
      <c r="L714" s="24" t="str">
        <f>IF(N714="","",IF(N714="T","Título de capítulo",IF(OR(ISERROR(F714),ISERROR(G714),ISERROR(H714)),"Error en fórmula: pegá como valores",IF(AND(B714="",$C$6=""),"Falta sector",IF(M714="","Falta capítulo",IF(TRIM(E714)="","Falta unidad",IF(NOT((COUNTIF(Listas!$A$2:$A$40,E714)+COUNTIF(Listas!$D$2:$D$60,E714)&gt;0)),"Unidad no reconocida",IF(AND(F714&lt;&gt;"",NOT(ISNUMBER(F714))),"Cantidad no es número",IF(N(F714)&lt;=0,"Falta cantidad",IF(OR(AND(G714&lt;&gt;"",NOT(ISNUMBER(G714))),AND(H714&lt;&gt;"",NOT(ISNUMBER(H714)))),"Precio no es número",IF(N(G714)+N(H714)&lt;=0,"Falta precio","✓ OK")))))))))))</f>
        <v/>
      </c>
      <c r="M714" t="str">
        <f>IF(N714&lt;&gt;"W","",IF(TRIM(C714)&lt;&gt;"",TRIM(C714),IFERROR(LOOKUP(2,1/(N$9:N714="T"),D$9:D714),"")))</f>
        <v/>
      </c>
      <c r="N714" t="str">
        <f t="shared" si="35"/>
        <v/>
      </c>
      <c r="O714" t="str">
        <f>IF(M714="","",IF(COUNTIF(M$9:M714,M714)=1,MAX(O$8:O713)+1,""))</f>
        <v/>
      </c>
    </row>
    <row r="715" spans="1:15" x14ac:dyDescent="0.75">
      <c r="A715" s="24" t="str">
        <f>IF(N715="W",COUNTIF(N$9:N715,"W"),"")</f>
        <v/>
      </c>
      <c r="B715" s="25"/>
      <c r="C715" s="25"/>
      <c r="D715" s="26"/>
      <c r="E715" s="25"/>
      <c r="F715" s="27"/>
      <c r="G715" s="28"/>
      <c r="H715" s="28"/>
      <c r="I715" s="29" t="str">
        <f t="shared" si="33"/>
        <v/>
      </c>
      <c r="J715" s="30" t="str">
        <f t="shared" si="34"/>
        <v/>
      </c>
      <c r="K715" s="26"/>
      <c r="L715" s="24" t="str">
        <f>IF(N715="","",IF(N715="T","Título de capítulo",IF(OR(ISERROR(F715),ISERROR(G715),ISERROR(H715)),"Error en fórmula: pegá como valores",IF(AND(B715="",$C$6=""),"Falta sector",IF(M715="","Falta capítulo",IF(TRIM(E715)="","Falta unidad",IF(NOT((COUNTIF(Listas!$A$2:$A$40,E715)+COUNTIF(Listas!$D$2:$D$60,E715)&gt;0)),"Unidad no reconocida",IF(AND(F715&lt;&gt;"",NOT(ISNUMBER(F715))),"Cantidad no es número",IF(N(F715)&lt;=0,"Falta cantidad",IF(OR(AND(G715&lt;&gt;"",NOT(ISNUMBER(G715))),AND(H715&lt;&gt;"",NOT(ISNUMBER(H715)))),"Precio no es número",IF(N(G715)+N(H715)&lt;=0,"Falta precio","✓ OK")))))))))))</f>
        <v/>
      </c>
      <c r="M715" t="str">
        <f>IF(N715&lt;&gt;"W","",IF(TRIM(C715)&lt;&gt;"",TRIM(C715),IFERROR(LOOKUP(2,1/(N$9:N715="T"),D$9:D715),"")))</f>
        <v/>
      </c>
      <c r="N715" t="str">
        <f t="shared" si="35"/>
        <v/>
      </c>
      <c r="O715" t="str">
        <f>IF(M715="","",IF(COUNTIF(M$9:M715,M715)=1,MAX(O$8:O714)+1,""))</f>
        <v/>
      </c>
    </row>
    <row r="716" spans="1:15" x14ac:dyDescent="0.75">
      <c r="A716" s="24" t="str">
        <f>IF(N716="W",COUNTIF(N$9:N716,"W"),"")</f>
        <v/>
      </c>
      <c r="B716" s="25"/>
      <c r="C716" s="25"/>
      <c r="D716" s="26"/>
      <c r="E716" s="25"/>
      <c r="F716" s="27"/>
      <c r="G716" s="28"/>
      <c r="H716" s="28"/>
      <c r="I716" s="29" t="str">
        <f t="shared" si="33"/>
        <v/>
      </c>
      <c r="J716" s="30" t="str">
        <f t="shared" si="34"/>
        <v/>
      </c>
      <c r="K716" s="26"/>
      <c r="L716" s="24" t="str">
        <f>IF(N716="","",IF(N716="T","Título de capítulo",IF(OR(ISERROR(F716),ISERROR(G716),ISERROR(H716)),"Error en fórmula: pegá como valores",IF(AND(B716="",$C$6=""),"Falta sector",IF(M716="","Falta capítulo",IF(TRIM(E716)="","Falta unidad",IF(NOT((COUNTIF(Listas!$A$2:$A$40,E716)+COUNTIF(Listas!$D$2:$D$60,E716)&gt;0)),"Unidad no reconocida",IF(AND(F716&lt;&gt;"",NOT(ISNUMBER(F716))),"Cantidad no es número",IF(N(F716)&lt;=0,"Falta cantidad",IF(OR(AND(G716&lt;&gt;"",NOT(ISNUMBER(G716))),AND(H716&lt;&gt;"",NOT(ISNUMBER(H716)))),"Precio no es número",IF(N(G716)+N(H716)&lt;=0,"Falta precio","✓ OK")))))))))))</f>
        <v/>
      </c>
      <c r="M716" t="str">
        <f>IF(N716&lt;&gt;"W","",IF(TRIM(C716)&lt;&gt;"",TRIM(C716),IFERROR(LOOKUP(2,1/(N$9:N716="T"),D$9:D716),"")))</f>
        <v/>
      </c>
      <c r="N716" t="str">
        <f t="shared" si="35"/>
        <v/>
      </c>
      <c r="O716" t="str">
        <f>IF(M716="","",IF(COUNTIF(M$9:M716,M716)=1,MAX(O$8:O715)+1,""))</f>
        <v/>
      </c>
    </row>
    <row r="717" spans="1:15" x14ac:dyDescent="0.75">
      <c r="A717" s="24" t="str">
        <f>IF(N717="W",COUNTIF(N$9:N717,"W"),"")</f>
        <v/>
      </c>
      <c r="B717" s="25"/>
      <c r="C717" s="25"/>
      <c r="D717" s="26"/>
      <c r="E717" s="25"/>
      <c r="F717" s="27"/>
      <c r="G717" s="28"/>
      <c r="H717" s="28"/>
      <c r="I717" s="29" t="str">
        <f t="shared" si="33"/>
        <v/>
      </c>
      <c r="J717" s="30" t="str">
        <f t="shared" si="34"/>
        <v/>
      </c>
      <c r="K717" s="26"/>
      <c r="L717" s="24" t="str">
        <f>IF(N717="","",IF(N717="T","Título de capítulo",IF(OR(ISERROR(F717),ISERROR(G717),ISERROR(H717)),"Error en fórmula: pegá como valores",IF(AND(B717="",$C$6=""),"Falta sector",IF(M717="","Falta capítulo",IF(TRIM(E717)="","Falta unidad",IF(NOT((COUNTIF(Listas!$A$2:$A$40,E717)+COUNTIF(Listas!$D$2:$D$60,E717)&gt;0)),"Unidad no reconocida",IF(AND(F717&lt;&gt;"",NOT(ISNUMBER(F717))),"Cantidad no es número",IF(N(F717)&lt;=0,"Falta cantidad",IF(OR(AND(G717&lt;&gt;"",NOT(ISNUMBER(G717))),AND(H717&lt;&gt;"",NOT(ISNUMBER(H717)))),"Precio no es número",IF(N(G717)+N(H717)&lt;=0,"Falta precio","✓ OK")))))))))))</f>
        <v/>
      </c>
      <c r="M717" t="str">
        <f>IF(N717&lt;&gt;"W","",IF(TRIM(C717)&lt;&gt;"",TRIM(C717),IFERROR(LOOKUP(2,1/(N$9:N717="T"),D$9:D717),"")))</f>
        <v/>
      </c>
      <c r="N717" t="str">
        <f t="shared" si="35"/>
        <v/>
      </c>
      <c r="O717" t="str">
        <f>IF(M717="","",IF(COUNTIF(M$9:M717,M717)=1,MAX(O$8:O716)+1,""))</f>
        <v/>
      </c>
    </row>
    <row r="718" spans="1:15" x14ac:dyDescent="0.75">
      <c r="A718" s="24" t="str">
        <f>IF(N718="W",COUNTIF(N$9:N718,"W"),"")</f>
        <v/>
      </c>
      <c r="B718" s="25"/>
      <c r="C718" s="25"/>
      <c r="D718" s="26"/>
      <c r="E718" s="25"/>
      <c r="F718" s="27"/>
      <c r="G718" s="28"/>
      <c r="H718" s="28"/>
      <c r="I718" s="29" t="str">
        <f t="shared" si="33"/>
        <v/>
      </c>
      <c r="J718" s="30" t="str">
        <f t="shared" si="34"/>
        <v/>
      </c>
      <c r="K718" s="26"/>
      <c r="L718" s="24" t="str">
        <f>IF(N718="","",IF(N718="T","Título de capítulo",IF(OR(ISERROR(F718),ISERROR(G718),ISERROR(H718)),"Error en fórmula: pegá como valores",IF(AND(B718="",$C$6=""),"Falta sector",IF(M718="","Falta capítulo",IF(TRIM(E718)="","Falta unidad",IF(NOT((COUNTIF(Listas!$A$2:$A$40,E718)+COUNTIF(Listas!$D$2:$D$60,E718)&gt;0)),"Unidad no reconocida",IF(AND(F718&lt;&gt;"",NOT(ISNUMBER(F718))),"Cantidad no es número",IF(N(F718)&lt;=0,"Falta cantidad",IF(OR(AND(G718&lt;&gt;"",NOT(ISNUMBER(G718))),AND(H718&lt;&gt;"",NOT(ISNUMBER(H718)))),"Precio no es número",IF(N(G718)+N(H718)&lt;=0,"Falta precio","✓ OK")))))))))))</f>
        <v/>
      </c>
      <c r="M718" t="str">
        <f>IF(N718&lt;&gt;"W","",IF(TRIM(C718)&lt;&gt;"",TRIM(C718),IFERROR(LOOKUP(2,1/(N$9:N718="T"),D$9:D718),"")))</f>
        <v/>
      </c>
      <c r="N718" t="str">
        <f t="shared" si="35"/>
        <v/>
      </c>
      <c r="O718" t="str">
        <f>IF(M718="","",IF(COUNTIF(M$9:M718,M718)=1,MAX(O$8:O717)+1,""))</f>
        <v/>
      </c>
    </row>
    <row r="719" spans="1:15" x14ac:dyDescent="0.75">
      <c r="A719" s="24" t="str">
        <f>IF(N719="W",COUNTIF(N$9:N719,"W"),"")</f>
        <v/>
      </c>
      <c r="B719" s="25"/>
      <c r="C719" s="25"/>
      <c r="D719" s="26"/>
      <c r="E719" s="25"/>
      <c r="F719" s="27"/>
      <c r="G719" s="28"/>
      <c r="H719" s="28"/>
      <c r="I719" s="29" t="str">
        <f t="shared" si="33"/>
        <v/>
      </c>
      <c r="J719" s="30" t="str">
        <f t="shared" si="34"/>
        <v/>
      </c>
      <c r="K719" s="26"/>
      <c r="L719" s="24" t="str">
        <f>IF(N719="","",IF(N719="T","Título de capítulo",IF(OR(ISERROR(F719),ISERROR(G719),ISERROR(H719)),"Error en fórmula: pegá como valores",IF(AND(B719="",$C$6=""),"Falta sector",IF(M719="","Falta capítulo",IF(TRIM(E719)="","Falta unidad",IF(NOT((COUNTIF(Listas!$A$2:$A$40,E719)+COUNTIF(Listas!$D$2:$D$60,E719)&gt;0)),"Unidad no reconocida",IF(AND(F719&lt;&gt;"",NOT(ISNUMBER(F719))),"Cantidad no es número",IF(N(F719)&lt;=0,"Falta cantidad",IF(OR(AND(G719&lt;&gt;"",NOT(ISNUMBER(G719))),AND(H719&lt;&gt;"",NOT(ISNUMBER(H719)))),"Precio no es número",IF(N(G719)+N(H719)&lt;=0,"Falta precio","✓ OK")))))))))))</f>
        <v/>
      </c>
      <c r="M719" t="str">
        <f>IF(N719&lt;&gt;"W","",IF(TRIM(C719)&lt;&gt;"",TRIM(C719),IFERROR(LOOKUP(2,1/(N$9:N719="T"),D$9:D719),"")))</f>
        <v/>
      </c>
      <c r="N719" t="str">
        <f t="shared" si="35"/>
        <v/>
      </c>
      <c r="O719" t="str">
        <f>IF(M719="","",IF(COUNTIF(M$9:M719,M719)=1,MAX(O$8:O718)+1,""))</f>
        <v/>
      </c>
    </row>
    <row r="720" spans="1:15" x14ac:dyDescent="0.75">
      <c r="A720" s="24" t="str">
        <f>IF(N720="W",COUNTIF(N$9:N720,"W"),"")</f>
        <v/>
      </c>
      <c r="B720" s="25"/>
      <c r="C720" s="25"/>
      <c r="D720" s="26"/>
      <c r="E720" s="25"/>
      <c r="F720" s="27"/>
      <c r="G720" s="28"/>
      <c r="H720" s="28"/>
      <c r="I720" s="29" t="str">
        <f t="shared" si="33"/>
        <v/>
      </c>
      <c r="J720" s="30" t="str">
        <f t="shared" si="34"/>
        <v/>
      </c>
      <c r="K720" s="26"/>
      <c r="L720" s="24" t="str">
        <f>IF(N720="","",IF(N720="T","Título de capítulo",IF(OR(ISERROR(F720),ISERROR(G720),ISERROR(H720)),"Error en fórmula: pegá como valores",IF(AND(B720="",$C$6=""),"Falta sector",IF(M720="","Falta capítulo",IF(TRIM(E720)="","Falta unidad",IF(NOT((COUNTIF(Listas!$A$2:$A$40,E720)+COUNTIF(Listas!$D$2:$D$60,E720)&gt;0)),"Unidad no reconocida",IF(AND(F720&lt;&gt;"",NOT(ISNUMBER(F720))),"Cantidad no es número",IF(N(F720)&lt;=0,"Falta cantidad",IF(OR(AND(G720&lt;&gt;"",NOT(ISNUMBER(G720))),AND(H720&lt;&gt;"",NOT(ISNUMBER(H720)))),"Precio no es número",IF(N(G720)+N(H720)&lt;=0,"Falta precio","✓ OK")))))))))))</f>
        <v/>
      </c>
      <c r="M720" t="str">
        <f>IF(N720&lt;&gt;"W","",IF(TRIM(C720)&lt;&gt;"",TRIM(C720),IFERROR(LOOKUP(2,1/(N$9:N720="T"),D$9:D720),"")))</f>
        <v/>
      </c>
      <c r="N720" t="str">
        <f t="shared" si="35"/>
        <v/>
      </c>
      <c r="O720" t="str">
        <f>IF(M720="","",IF(COUNTIF(M$9:M720,M720)=1,MAX(O$8:O719)+1,""))</f>
        <v/>
      </c>
    </row>
    <row r="721" spans="1:15" x14ac:dyDescent="0.75">
      <c r="A721" s="24" t="str">
        <f>IF(N721="W",COUNTIF(N$9:N721,"W"),"")</f>
        <v/>
      </c>
      <c r="B721" s="25"/>
      <c r="C721" s="25"/>
      <c r="D721" s="26"/>
      <c r="E721" s="25"/>
      <c r="F721" s="27"/>
      <c r="G721" s="28"/>
      <c r="H721" s="28"/>
      <c r="I721" s="29" t="str">
        <f t="shared" si="33"/>
        <v/>
      </c>
      <c r="J721" s="30" t="str">
        <f t="shared" si="34"/>
        <v/>
      </c>
      <c r="K721" s="26"/>
      <c r="L721" s="24" t="str">
        <f>IF(N721="","",IF(N721="T","Título de capítulo",IF(OR(ISERROR(F721),ISERROR(G721),ISERROR(H721)),"Error en fórmula: pegá como valores",IF(AND(B721="",$C$6=""),"Falta sector",IF(M721="","Falta capítulo",IF(TRIM(E721)="","Falta unidad",IF(NOT((COUNTIF(Listas!$A$2:$A$40,E721)+COUNTIF(Listas!$D$2:$D$60,E721)&gt;0)),"Unidad no reconocida",IF(AND(F721&lt;&gt;"",NOT(ISNUMBER(F721))),"Cantidad no es número",IF(N(F721)&lt;=0,"Falta cantidad",IF(OR(AND(G721&lt;&gt;"",NOT(ISNUMBER(G721))),AND(H721&lt;&gt;"",NOT(ISNUMBER(H721)))),"Precio no es número",IF(N(G721)+N(H721)&lt;=0,"Falta precio","✓ OK")))))))))))</f>
        <v/>
      </c>
      <c r="M721" t="str">
        <f>IF(N721&lt;&gt;"W","",IF(TRIM(C721)&lt;&gt;"",TRIM(C721),IFERROR(LOOKUP(2,1/(N$9:N721="T"),D$9:D721),"")))</f>
        <v/>
      </c>
      <c r="N721" t="str">
        <f t="shared" si="35"/>
        <v/>
      </c>
      <c r="O721" t="str">
        <f>IF(M721="","",IF(COUNTIF(M$9:M721,M721)=1,MAX(O$8:O720)+1,""))</f>
        <v/>
      </c>
    </row>
    <row r="722" spans="1:15" x14ac:dyDescent="0.75">
      <c r="A722" s="24" t="str">
        <f>IF(N722="W",COUNTIF(N$9:N722,"W"),"")</f>
        <v/>
      </c>
      <c r="B722" s="25"/>
      <c r="C722" s="25"/>
      <c r="D722" s="26"/>
      <c r="E722" s="25"/>
      <c r="F722" s="27"/>
      <c r="G722" s="28"/>
      <c r="H722" s="28"/>
      <c r="I722" s="29" t="str">
        <f t="shared" si="33"/>
        <v/>
      </c>
      <c r="J722" s="30" t="str">
        <f t="shared" si="34"/>
        <v/>
      </c>
      <c r="K722" s="26"/>
      <c r="L722" s="24" t="str">
        <f>IF(N722="","",IF(N722="T","Título de capítulo",IF(OR(ISERROR(F722),ISERROR(G722),ISERROR(H722)),"Error en fórmula: pegá como valores",IF(AND(B722="",$C$6=""),"Falta sector",IF(M722="","Falta capítulo",IF(TRIM(E722)="","Falta unidad",IF(NOT((COUNTIF(Listas!$A$2:$A$40,E722)+COUNTIF(Listas!$D$2:$D$60,E722)&gt;0)),"Unidad no reconocida",IF(AND(F722&lt;&gt;"",NOT(ISNUMBER(F722))),"Cantidad no es número",IF(N(F722)&lt;=0,"Falta cantidad",IF(OR(AND(G722&lt;&gt;"",NOT(ISNUMBER(G722))),AND(H722&lt;&gt;"",NOT(ISNUMBER(H722)))),"Precio no es número",IF(N(G722)+N(H722)&lt;=0,"Falta precio","✓ OK")))))))))))</f>
        <v/>
      </c>
      <c r="M722" t="str">
        <f>IF(N722&lt;&gt;"W","",IF(TRIM(C722)&lt;&gt;"",TRIM(C722),IFERROR(LOOKUP(2,1/(N$9:N722="T"),D$9:D722),"")))</f>
        <v/>
      </c>
      <c r="N722" t="str">
        <f t="shared" si="35"/>
        <v/>
      </c>
      <c r="O722" t="str">
        <f>IF(M722="","",IF(COUNTIF(M$9:M722,M722)=1,MAX(O$8:O721)+1,""))</f>
        <v/>
      </c>
    </row>
    <row r="723" spans="1:15" x14ac:dyDescent="0.75">
      <c r="A723" s="24" t="str">
        <f>IF(N723="W",COUNTIF(N$9:N723,"W"),"")</f>
        <v/>
      </c>
      <c r="B723" s="25"/>
      <c r="C723" s="25"/>
      <c r="D723" s="26"/>
      <c r="E723" s="25"/>
      <c r="F723" s="27"/>
      <c r="G723" s="28"/>
      <c r="H723" s="28"/>
      <c r="I723" s="29" t="str">
        <f t="shared" si="33"/>
        <v/>
      </c>
      <c r="J723" s="30" t="str">
        <f t="shared" si="34"/>
        <v/>
      </c>
      <c r="K723" s="26"/>
      <c r="L723" s="24" t="str">
        <f>IF(N723="","",IF(N723="T","Título de capítulo",IF(OR(ISERROR(F723),ISERROR(G723),ISERROR(H723)),"Error en fórmula: pegá como valores",IF(AND(B723="",$C$6=""),"Falta sector",IF(M723="","Falta capítulo",IF(TRIM(E723)="","Falta unidad",IF(NOT((COUNTIF(Listas!$A$2:$A$40,E723)+COUNTIF(Listas!$D$2:$D$60,E723)&gt;0)),"Unidad no reconocida",IF(AND(F723&lt;&gt;"",NOT(ISNUMBER(F723))),"Cantidad no es número",IF(N(F723)&lt;=0,"Falta cantidad",IF(OR(AND(G723&lt;&gt;"",NOT(ISNUMBER(G723))),AND(H723&lt;&gt;"",NOT(ISNUMBER(H723)))),"Precio no es número",IF(N(G723)+N(H723)&lt;=0,"Falta precio","✓ OK")))))))))))</f>
        <v/>
      </c>
      <c r="M723" t="str">
        <f>IF(N723&lt;&gt;"W","",IF(TRIM(C723)&lt;&gt;"",TRIM(C723),IFERROR(LOOKUP(2,1/(N$9:N723="T"),D$9:D723),"")))</f>
        <v/>
      </c>
      <c r="N723" t="str">
        <f t="shared" si="35"/>
        <v/>
      </c>
      <c r="O723" t="str">
        <f>IF(M723="","",IF(COUNTIF(M$9:M723,M723)=1,MAX(O$8:O722)+1,""))</f>
        <v/>
      </c>
    </row>
    <row r="724" spans="1:15" x14ac:dyDescent="0.75">
      <c r="A724" s="24" t="str">
        <f>IF(N724="W",COUNTIF(N$9:N724,"W"),"")</f>
        <v/>
      </c>
      <c r="B724" s="25"/>
      <c r="C724" s="25"/>
      <c r="D724" s="26"/>
      <c r="E724" s="25"/>
      <c r="F724" s="27"/>
      <c r="G724" s="28"/>
      <c r="H724" s="28"/>
      <c r="I724" s="29" t="str">
        <f t="shared" si="33"/>
        <v/>
      </c>
      <c r="J724" s="30" t="str">
        <f t="shared" si="34"/>
        <v/>
      </c>
      <c r="K724" s="26"/>
      <c r="L724" s="24" t="str">
        <f>IF(N724="","",IF(N724="T","Título de capítulo",IF(OR(ISERROR(F724),ISERROR(G724),ISERROR(H724)),"Error en fórmula: pegá como valores",IF(AND(B724="",$C$6=""),"Falta sector",IF(M724="","Falta capítulo",IF(TRIM(E724)="","Falta unidad",IF(NOT((COUNTIF(Listas!$A$2:$A$40,E724)+COUNTIF(Listas!$D$2:$D$60,E724)&gt;0)),"Unidad no reconocida",IF(AND(F724&lt;&gt;"",NOT(ISNUMBER(F724))),"Cantidad no es número",IF(N(F724)&lt;=0,"Falta cantidad",IF(OR(AND(G724&lt;&gt;"",NOT(ISNUMBER(G724))),AND(H724&lt;&gt;"",NOT(ISNUMBER(H724)))),"Precio no es número",IF(N(G724)+N(H724)&lt;=0,"Falta precio","✓ OK")))))))))))</f>
        <v/>
      </c>
      <c r="M724" t="str">
        <f>IF(N724&lt;&gt;"W","",IF(TRIM(C724)&lt;&gt;"",TRIM(C724),IFERROR(LOOKUP(2,1/(N$9:N724="T"),D$9:D724),"")))</f>
        <v/>
      </c>
      <c r="N724" t="str">
        <f t="shared" si="35"/>
        <v/>
      </c>
      <c r="O724" t="str">
        <f>IF(M724="","",IF(COUNTIF(M$9:M724,M724)=1,MAX(O$8:O723)+1,""))</f>
        <v/>
      </c>
    </row>
    <row r="725" spans="1:15" x14ac:dyDescent="0.75">
      <c r="A725" s="24" t="str">
        <f>IF(N725="W",COUNTIF(N$9:N725,"W"),"")</f>
        <v/>
      </c>
      <c r="B725" s="25"/>
      <c r="C725" s="25"/>
      <c r="D725" s="26"/>
      <c r="E725" s="25"/>
      <c r="F725" s="27"/>
      <c r="G725" s="28"/>
      <c r="H725" s="28"/>
      <c r="I725" s="29" t="str">
        <f t="shared" si="33"/>
        <v/>
      </c>
      <c r="J725" s="30" t="str">
        <f t="shared" si="34"/>
        <v/>
      </c>
      <c r="K725" s="26"/>
      <c r="L725" s="24" t="str">
        <f>IF(N725="","",IF(N725="T","Título de capítulo",IF(OR(ISERROR(F725),ISERROR(G725),ISERROR(H725)),"Error en fórmula: pegá como valores",IF(AND(B725="",$C$6=""),"Falta sector",IF(M725="","Falta capítulo",IF(TRIM(E725)="","Falta unidad",IF(NOT((COUNTIF(Listas!$A$2:$A$40,E725)+COUNTIF(Listas!$D$2:$D$60,E725)&gt;0)),"Unidad no reconocida",IF(AND(F725&lt;&gt;"",NOT(ISNUMBER(F725))),"Cantidad no es número",IF(N(F725)&lt;=0,"Falta cantidad",IF(OR(AND(G725&lt;&gt;"",NOT(ISNUMBER(G725))),AND(H725&lt;&gt;"",NOT(ISNUMBER(H725)))),"Precio no es número",IF(N(G725)+N(H725)&lt;=0,"Falta precio","✓ OK")))))))))))</f>
        <v/>
      </c>
      <c r="M725" t="str">
        <f>IF(N725&lt;&gt;"W","",IF(TRIM(C725)&lt;&gt;"",TRIM(C725),IFERROR(LOOKUP(2,1/(N$9:N725="T"),D$9:D725),"")))</f>
        <v/>
      </c>
      <c r="N725" t="str">
        <f t="shared" si="35"/>
        <v/>
      </c>
      <c r="O725" t="str">
        <f>IF(M725="","",IF(COUNTIF(M$9:M725,M725)=1,MAX(O$8:O724)+1,""))</f>
        <v/>
      </c>
    </row>
    <row r="726" spans="1:15" x14ac:dyDescent="0.75">
      <c r="A726" s="24" t="str">
        <f>IF(N726="W",COUNTIF(N$9:N726,"W"),"")</f>
        <v/>
      </c>
      <c r="B726" s="25"/>
      <c r="C726" s="25"/>
      <c r="D726" s="26"/>
      <c r="E726" s="25"/>
      <c r="F726" s="27"/>
      <c r="G726" s="28"/>
      <c r="H726" s="28"/>
      <c r="I726" s="29" t="str">
        <f t="shared" si="33"/>
        <v/>
      </c>
      <c r="J726" s="30" t="str">
        <f t="shared" si="34"/>
        <v/>
      </c>
      <c r="K726" s="26"/>
      <c r="L726" s="24" t="str">
        <f>IF(N726="","",IF(N726="T","Título de capítulo",IF(OR(ISERROR(F726),ISERROR(G726),ISERROR(H726)),"Error en fórmula: pegá como valores",IF(AND(B726="",$C$6=""),"Falta sector",IF(M726="","Falta capítulo",IF(TRIM(E726)="","Falta unidad",IF(NOT((COUNTIF(Listas!$A$2:$A$40,E726)+COUNTIF(Listas!$D$2:$D$60,E726)&gt;0)),"Unidad no reconocida",IF(AND(F726&lt;&gt;"",NOT(ISNUMBER(F726))),"Cantidad no es número",IF(N(F726)&lt;=0,"Falta cantidad",IF(OR(AND(G726&lt;&gt;"",NOT(ISNUMBER(G726))),AND(H726&lt;&gt;"",NOT(ISNUMBER(H726)))),"Precio no es número",IF(N(G726)+N(H726)&lt;=0,"Falta precio","✓ OK")))))))))))</f>
        <v/>
      </c>
      <c r="M726" t="str">
        <f>IF(N726&lt;&gt;"W","",IF(TRIM(C726)&lt;&gt;"",TRIM(C726),IFERROR(LOOKUP(2,1/(N$9:N726="T"),D$9:D726),"")))</f>
        <v/>
      </c>
      <c r="N726" t="str">
        <f t="shared" si="35"/>
        <v/>
      </c>
      <c r="O726" t="str">
        <f>IF(M726="","",IF(COUNTIF(M$9:M726,M726)=1,MAX(O$8:O725)+1,""))</f>
        <v/>
      </c>
    </row>
    <row r="727" spans="1:15" x14ac:dyDescent="0.75">
      <c r="A727" s="24" t="str">
        <f>IF(N727="W",COUNTIF(N$9:N727,"W"),"")</f>
        <v/>
      </c>
      <c r="B727" s="25"/>
      <c r="C727" s="25"/>
      <c r="D727" s="26"/>
      <c r="E727" s="25"/>
      <c r="F727" s="27"/>
      <c r="G727" s="28"/>
      <c r="H727" s="28"/>
      <c r="I727" s="29" t="str">
        <f t="shared" si="33"/>
        <v/>
      </c>
      <c r="J727" s="30" t="str">
        <f t="shared" si="34"/>
        <v/>
      </c>
      <c r="K727" s="26"/>
      <c r="L727" s="24" t="str">
        <f>IF(N727="","",IF(N727="T","Título de capítulo",IF(OR(ISERROR(F727),ISERROR(G727),ISERROR(H727)),"Error en fórmula: pegá como valores",IF(AND(B727="",$C$6=""),"Falta sector",IF(M727="","Falta capítulo",IF(TRIM(E727)="","Falta unidad",IF(NOT((COUNTIF(Listas!$A$2:$A$40,E727)+COUNTIF(Listas!$D$2:$D$60,E727)&gt;0)),"Unidad no reconocida",IF(AND(F727&lt;&gt;"",NOT(ISNUMBER(F727))),"Cantidad no es número",IF(N(F727)&lt;=0,"Falta cantidad",IF(OR(AND(G727&lt;&gt;"",NOT(ISNUMBER(G727))),AND(H727&lt;&gt;"",NOT(ISNUMBER(H727)))),"Precio no es número",IF(N(G727)+N(H727)&lt;=0,"Falta precio","✓ OK")))))))))))</f>
        <v/>
      </c>
      <c r="M727" t="str">
        <f>IF(N727&lt;&gt;"W","",IF(TRIM(C727)&lt;&gt;"",TRIM(C727),IFERROR(LOOKUP(2,1/(N$9:N727="T"),D$9:D727),"")))</f>
        <v/>
      </c>
      <c r="N727" t="str">
        <f t="shared" si="35"/>
        <v/>
      </c>
      <c r="O727" t="str">
        <f>IF(M727="","",IF(COUNTIF(M$9:M727,M727)=1,MAX(O$8:O726)+1,""))</f>
        <v/>
      </c>
    </row>
    <row r="728" spans="1:15" x14ac:dyDescent="0.75">
      <c r="A728" s="24" t="str">
        <f>IF(N728="W",COUNTIF(N$9:N728,"W"),"")</f>
        <v/>
      </c>
      <c r="B728" s="25"/>
      <c r="C728" s="25"/>
      <c r="D728" s="26"/>
      <c r="E728" s="25"/>
      <c r="F728" s="27"/>
      <c r="G728" s="28"/>
      <c r="H728" s="28"/>
      <c r="I728" s="29" t="str">
        <f t="shared" si="33"/>
        <v/>
      </c>
      <c r="J728" s="30" t="str">
        <f t="shared" si="34"/>
        <v/>
      </c>
      <c r="K728" s="26"/>
      <c r="L728" s="24" t="str">
        <f>IF(N728="","",IF(N728="T","Título de capítulo",IF(OR(ISERROR(F728),ISERROR(G728),ISERROR(H728)),"Error en fórmula: pegá como valores",IF(AND(B728="",$C$6=""),"Falta sector",IF(M728="","Falta capítulo",IF(TRIM(E728)="","Falta unidad",IF(NOT((COUNTIF(Listas!$A$2:$A$40,E728)+COUNTIF(Listas!$D$2:$D$60,E728)&gt;0)),"Unidad no reconocida",IF(AND(F728&lt;&gt;"",NOT(ISNUMBER(F728))),"Cantidad no es número",IF(N(F728)&lt;=0,"Falta cantidad",IF(OR(AND(G728&lt;&gt;"",NOT(ISNUMBER(G728))),AND(H728&lt;&gt;"",NOT(ISNUMBER(H728)))),"Precio no es número",IF(N(G728)+N(H728)&lt;=0,"Falta precio","✓ OK")))))))))))</f>
        <v/>
      </c>
      <c r="M728" t="str">
        <f>IF(N728&lt;&gt;"W","",IF(TRIM(C728)&lt;&gt;"",TRIM(C728),IFERROR(LOOKUP(2,1/(N$9:N728="T"),D$9:D728),"")))</f>
        <v/>
      </c>
      <c r="N728" t="str">
        <f t="shared" si="35"/>
        <v/>
      </c>
      <c r="O728" t="str">
        <f>IF(M728="","",IF(COUNTIF(M$9:M728,M728)=1,MAX(O$8:O727)+1,""))</f>
        <v/>
      </c>
    </row>
    <row r="729" spans="1:15" x14ac:dyDescent="0.75">
      <c r="A729" s="24" t="str">
        <f>IF(N729="W",COUNTIF(N$9:N729,"W"),"")</f>
        <v/>
      </c>
      <c r="B729" s="25"/>
      <c r="C729" s="25"/>
      <c r="D729" s="26"/>
      <c r="E729" s="25"/>
      <c r="F729" s="27"/>
      <c r="G729" s="28"/>
      <c r="H729" s="28"/>
      <c r="I729" s="29" t="str">
        <f t="shared" si="33"/>
        <v/>
      </c>
      <c r="J729" s="30" t="str">
        <f t="shared" si="34"/>
        <v/>
      </c>
      <c r="K729" s="26"/>
      <c r="L729" s="24" t="str">
        <f>IF(N729="","",IF(N729="T","Título de capítulo",IF(OR(ISERROR(F729),ISERROR(G729),ISERROR(H729)),"Error en fórmula: pegá como valores",IF(AND(B729="",$C$6=""),"Falta sector",IF(M729="","Falta capítulo",IF(TRIM(E729)="","Falta unidad",IF(NOT((COUNTIF(Listas!$A$2:$A$40,E729)+COUNTIF(Listas!$D$2:$D$60,E729)&gt;0)),"Unidad no reconocida",IF(AND(F729&lt;&gt;"",NOT(ISNUMBER(F729))),"Cantidad no es número",IF(N(F729)&lt;=0,"Falta cantidad",IF(OR(AND(G729&lt;&gt;"",NOT(ISNUMBER(G729))),AND(H729&lt;&gt;"",NOT(ISNUMBER(H729)))),"Precio no es número",IF(N(G729)+N(H729)&lt;=0,"Falta precio","✓ OK")))))))))))</f>
        <v/>
      </c>
      <c r="M729" t="str">
        <f>IF(N729&lt;&gt;"W","",IF(TRIM(C729)&lt;&gt;"",TRIM(C729),IFERROR(LOOKUP(2,1/(N$9:N729="T"),D$9:D729),"")))</f>
        <v/>
      </c>
      <c r="N729" t="str">
        <f t="shared" si="35"/>
        <v/>
      </c>
      <c r="O729" t="str">
        <f>IF(M729="","",IF(COUNTIF(M$9:M729,M729)=1,MAX(O$8:O728)+1,""))</f>
        <v/>
      </c>
    </row>
    <row r="730" spans="1:15" x14ac:dyDescent="0.75">
      <c r="A730" s="24" t="str">
        <f>IF(N730="W",COUNTIF(N$9:N730,"W"),"")</f>
        <v/>
      </c>
      <c r="B730" s="25"/>
      <c r="C730" s="25"/>
      <c r="D730" s="26"/>
      <c r="E730" s="25"/>
      <c r="F730" s="27"/>
      <c r="G730" s="28"/>
      <c r="H730" s="28"/>
      <c r="I730" s="29" t="str">
        <f t="shared" si="33"/>
        <v/>
      </c>
      <c r="J730" s="30" t="str">
        <f t="shared" si="34"/>
        <v/>
      </c>
      <c r="K730" s="26"/>
      <c r="L730" s="24" t="str">
        <f>IF(N730="","",IF(N730="T","Título de capítulo",IF(OR(ISERROR(F730),ISERROR(G730),ISERROR(H730)),"Error en fórmula: pegá como valores",IF(AND(B730="",$C$6=""),"Falta sector",IF(M730="","Falta capítulo",IF(TRIM(E730)="","Falta unidad",IF(NOT((COUNTIF(Listas!$A$2:$A$40,E730)+COUNTIF(Listas!$D$2:$D$60,E730)&gt;0)),"Unidad no reconocida",IF(AND(F730&lt;&gt;"",NOT(ISNUMBER(F730))),"Cantidad no es número",IF(N(F730)&lt;=0,"Falta cantidad",IF(OR(AND(G730&lt;&gt;"",NOT(ISNUMBER(G730))),AND(H730&lt;&gt;"",NOT(ISNUMBER(H730)))),"Precio no es número",IF(N(G730)+N(H730)&lt;=0,"Falta precio","✓ OK")))))))))))</f>
        <v/>
      </c>
      <c r="M730" t="str">
        <f>IF(N730&lt;&gt;"W","",IF(TRIM(C730)&lt;&gt;"",TRIM(C730),IFERROR(LOOKUP(2,1/(N$9:N730="T"),D$9:D730),"")))</f>
        <v/>
      </c>
      <c r="N730" t="str">
        <f t="shared" si="35"/>
        <v/>
      </c>
      <c r="O730" t="str">
        <f>IF(M730="","",IF(COUNTIF(M$9:M730,M730)=1,MAX(O$8:O729)+1,""))</f>
        <v/>
      </c>
    </row>
    <row r="731" spans="1:15" x14ac:dyDescent="0.75">
      <c r="A731" s="24" t="str">
        <f>IF(N731="W",COUNTIF(N$9:N731,"W"),"")</f>
        <v/>
      </c>
      <c r="B731" s="25"/>
      <c r="C731" s="25"/>
      <c r="D731" s="26"/>
      <c r="E731" s="25"/>
      <c r="F731" s="27"/>
      <c r="G731" s="28"/>
      <c r="H731" s="28"/>
      <c r="I731" s="29" t="str">
        <f t="shared" si="33"/>
        <v/>
      </c>
      <c r="J731" s="30" t="str">
        <f t="shared" si="34"/>
        <v/>
      </c>
      <c r="K731" s="26"/>
      <c r="L731" s="24" t="str">
        <f>IF(N731="","",IF(N731="T","Título de capítulo",IF(OR(ISERROR(F731),ISERROR(G731),ISERROR(H731)),"Error en fórmula: pegá como valores",IF(AND(B731="",$C$6=""),"Falta sector",IF(M731="","Falta capítulo",IF(TRIM(E731)="","Falta unidad",IF(NOT((COUNTIF(Listas!$A$2:$A$40,E731)+COUNTIF(Listas!$D$2:$D$60,E731)&gt;0)),"Unidad no reconocida",IF(AND(F731&lt;&gt;"",NOT(ISNUMBER(F731))),"Cantidad no es número",IF(N(F731)&lt;=0,"Falta cantidad",IF(OR(AND(G731&lt;&gt;"",NOT(ISNUMBER(G731))),AND(H731&lt;&gt;"",NOT(ISNUMBER(H731)))),"Precio no es número",IF(N(G731)+N(H731)&lt;=0,"Falta precio","✓ OK")))))))))))</f>
        <v/>
      </c>
      <c r="M731" t="str">
        <f>IF(N731&lt;&gt;"W","",IF(TRIM(C731)&lt;&gt;"",TRIM(C731),IFERROR(LOOKUP(2,1/(N$9:N731="T"),D$9:D731),"")))</f>
        <v/>
      </c>
      <c r="N731" t="str">
        <f t="shared" si="35"/>
        <v/>
      </c>
      <c r="O731" t="str">
        <f>IF(M731="","",IF(COUNTIF(M$9:M731,M731)=1,MAX(O$8:O730)+1,""))</f>
        <v/>
      </c>
    </row>
    <row r="732" spans="1:15" x14ac:dyDescent="0.75">
      <c r="A732" s="24" t="str">
        <f>IF(N732="W",COUNTIF(N$9:N732,"W"),"")</f>
        <v/>
      </c>
      <c r="B732" s="25"/>
      <c r="C732" s="25"/>
      <c r="D732" s="26"/>
      <c r="E732" s="25"/>
      <c r="F732" s="27"/>
      <c r="G732" s="28"/>
      <c r="H732" s="28"/>
      <c r="I732" s="29" t="str">
        <f t="shared" si="33"/>
        <v/>
      </c>
      <c r="J732" s="30" t="str">
        <f t="shared" si="34"/>
        <v/>
      </c>
      <c r="K732" s="26"/>
      <c r="L732" s="24" t="str">
        <f>IF(N732="","",IF(N732="T","Título de capítulo",IF(OR(ISERROR(F732),ISERROR(G732),ISERROR(H732)),"Error en fórmula: pegá como valores",IF(AND(B732="",$C$6=""),"Falta sector",IF(M732="","Falta capítulo",IF(TRIM(E732)="","Falta unidad",IF(NOT((COUNTIF(Listas!$A$2:$A$40,E732)+COUNTIF(Listas!$D$2:$D$60,E732)&gt;0)),"Unidad no reconocida",IF(AND(F732&lt;&gt;"",NOT(ISNUMBER(F732))),"Cantidad no es número",IF(N(F732)&lt;=0,"Falta cantidad",IF(OR(AND(G732&lt;&gt;"",NOT(ISNUMBER(G732))),AND(H732&lt;&gt;"",NOT(ISNUMBER(H732)))),"Precio no es número",IF(N(G732)+N(H732)&lt;=0,"Falta precio","✓ OK")))))))))))</f>
        <v/>
      </c>
      <c r="M732" t="str">
        <f>IF(N732&lt;&gt;"W","",IF(TRIM(C732)&lt;&gt;"",TRIM(C732),IFERROR(LOOKUP(2,1/(N$9:N732="T"),D$9:D732),"")))</f>
        <v/>
      </c>
      <c r="N732" t="str">
        <f t="shared" si="35"/>
        <v/>
      </c>
      <c r="O732" t="str">
        <f>IF(M732="","",IF(COUNTIF(M$9:M732,M732)=1,MAX(O$8:O731)+1,""))</f>
        <v/>
      </c>
    </row>
    <row r="733" spans="1:15" x14ac:dyDescent="0.75">
      <c r="A733" s="24" t="str">
        <f>IF(N733="W",COUNTIF(N$9:N733,"W"),"")</f>
        <v/>
      </c>
      <c r="B733" s="25"/>
      <c r="C733" s="25"/>
      <c r="D733" s="26"/>
      <c r="E733" s="25"/>
      <c r="F733" s="27"/>
      <c r="G733" s="28"/>
      <c r="H733" s="28"/>
      <c r="I733" s="29" t="str">
        <f t="shared" si="33"/>
        <v/>
      </c>
      <c r="J733" s="30" t="str">
        <f t="shared" si="34"/>
        <v/>
      </c>
      <c r="K733" s="26"/>
      <c r="L733" s="24" t="str">
        <f>IF(N733="","",IF(N733="T","Título de capítulo",IF(OR(ISERROR(F733),ISERROR(G733),ISERROR(H733)),"Error en fórmula: pegá como valores",IF(AND(B733="",$C$6=""),"Falta sector",IF(M733="","Falta capítulo",IF(TRIM(E733)="","Falta unidad",IF(NOT((COUNTIF(Listas!$A$2:$A$40,E733)+COUNTIF(Listas!$D$2:$D$60,E733)&gt;0)),"Unidad no reconocida",IF(AND(F733&lt;&gt;"",NOT(ISNUMBER(F733))),"Cantidad no es número",IF(N(F733)&lt;=0,"Falta cantidad",IF(OR(AND(G733&lt;&gt;"",NOT(ISNUMBER(G733))),AND(H733&lt;&gt;"",NOT(ISNUMBER(H733)))),"Precio no es número",IF(N(G733)+N(H733)&lt;=0,"Falta precio","✓ OK")))))))))))</f>
        <v/>
      </c>
      <c r="M733" t="str">
        <f>IF(N733&lt;&gt;"W","",IF(TRIM(C733)&lt;&gt;"",TRIM(C733),IFERROR(LOOKUP(2,1/(N$9:N733="T"),D$9:D733),"")))</f>
        <v/>
      </c>
      <c r="N733" t="str">
        <f t="shared" si="35"/>
        <v/>
      </c>
      <c r="O733" t="str">
        <f>IF(M733="","",IF(COUNTIF(M$9:M733,M733)=1,MAX(O$8:O732)+1,""))</f>
        <v/>
      </c>
    </row>
    <row r="734" spans="1:15" x14ac:dyDescent="0.75">
      <c r="A734" s="24" t="str">
        <f>IF(N734="W",COUNTIF(N$9:N734,"W"),"")</f>
        <v/>
      </c>
      <c r="B734" s="25"/>
      <c r="C734" s="25"/>
      <c r="D734" s="26"/>
      <c r="E734" s="25"/>
      <c r="F734" s="27"/>
      <c r="G734" s="28"/>
      <c r="H734" s="28"/>
      <c r="I734" s="29" t="str">
        <f t="shared" si="33"/>
        <v/>
      </c>
      <c r="J734" s="30" t="str">
        <f t="shared" si="34"/>
        <v/>
      </c>
      <c r="K734" s="26"/>
      <c r="L734" s="24" t="str">
        <f>IF(N734="","",IF(N734="T","Título de capítulo",IF(OR(ISERROR(F734),ISERROR(G734),ISERROR(H734)),"Error en fórmula: pegá como valores",IF(AND(B734="",$C$6=""),"Falta sector",IF(M734="","Falta capítulo",IF(TRIM(E734)="","Falta unidad",IF(NOT((COUNTIF(Listas!$A$2:$A$40,E734)+COUNTIF(Listas!$D$2:$D$60,E734)&gt;0)),"Unidad no reconocida",IF(AND(F734&lt;&gt;"",NOT(ISNUMBER(F734))),"Cantidad no es número",IF(N(F734)&lt;=0,"Falta cantidad",IF(OR(AND(G734&lt;&gt;"",NOT(ISNUMBER(G734))),AND(H734&lt;&gt;"",NOT(ISNUMBER(H734)))),"Precio no es número",IF(N(G734)+N(H734)&lt;=0,"Falta precio","✓ OK")))))))))))</f>
        <v/>
      </c>
      <c r="M734" t="str">
        <f>IF(N734&lt;&gt;"W","",IF(TRIM(C734)&lt;&gt;"",TRIM(C734),IFERROR(LOOKUP(2,1/(N$9:N734="T"),D$9:D734),"")))</f>
        <v/>
      </c>
      <c r="N734" t="str">
        <f t="shared" si="35"/>
        <v/>
      </c>
      <c r="O734" t="str">
        <f>IF(M734="","",IF(COUNTIF(M$9:M734,M734)=1,MAX(O$8:O733)+1,""))</f>
        <v/>
      </c>
    </row>
    <row r="735" spans="1:15" x14ac:dyDescent="0.75">
      <c r="A735" s="24" t="str">
        <f>IF(N735="W",COUNTIF(N$9:N735,"W"),"")</f>
        <v/>
      </c>
      <c r="B735" s="25"/>
      <c r="C735" s="25"/>
      <c r="D735" s="26"/>
      <c r="E735" s="25"/>
      <c r="F735" s="27"/>
      <c r="G735" s="28"/>
      <c r="H735" s="28"/>
      <c r="I735" s="29" t="str">
        <f t="shared" si="33"/>
        <v/>
      </c>
      <c r="J735" s="30" t="str">
        <f t="shared" si="34"/>
        <v/>
      </c>
      <c r="K735" s="26"/>
      <c r="L735" s="24" t="str">
        <f>IF(N735="","",IF(N735="T","Título de capítulo",IF(OR(ISERROR(F735),ISERROR(G735),ISERROR(H735)),"Error en fórmula: pegá como valores",IF(AND(B735="",$C$6=""),"Falta sector",IF(M735="","Falta capítulo",IF(TRIM(E735)="","Falta unidad",IF(NOT((COUNTIF(Listas!$A$2:$A$40,E735)+COUNTIF(Listas!$D$2:$D$60,E735)&gt;0)),"Unidad no reconocida",IF(AND(F735&lt;&gt;"",NOT(ISNUMBER(F735))),"Cantidad no es número",IF(N(F735)&lt;=0,"Falta cantidad",IF(OR(AND(G735&lt;&gt;"",NOT(ISNUMBER(G735))),AND(H735&lt;&gt;"",NOT(ISNUMBER(H735)))),"Precio no es número",IF(N(G735)+N(H735)&lt;=0,"Falta precio","✓ OK")))))))))))</f>
        <v/>
      </c>
      <c r="M735" t="str">
        <f>IF(N735&lt;&gt;"W","",IF(TRIM(C735)&lt;&gt;"",TRIM(C735),IFERROR(LOOKUP(2,1/(N$9:N735="T"),D$9:D735),"")))</f>
        <v/>
      </c>
      <c r="N735" t="str">
        <f t="shared" si="35"/>
        <v/>
      </c>
      <c r="O735" t="str">
        <f>IF(M735="","",IF(COUNTIF(M$9:M735,M735)=1,MAX(O$8:O734)+1,""))</f>
        <v/>
      </c>
    </row>
    <row r="736" spans="1:15" x14ac:dyDescent="0.75">
      <c r="A736" s="24" t="str">
        <f>IF(N736="W",COUNTIF(N$9:N736,"W"),"")</f>
        <v/>
      </c>
      <c r="B736" s="25"/>
      <c r="C736" s="25"/>
      <c r="D736" s="26"/>
      <c r="E736" s="25"/>
      <c r="F736" s="27"/>
      <c r="G736" s="28"/>
      <c r="H736" s="28"/>
      <c r="I736" s="29" t="str">
        <f t="shared" si="33"/>
        <v/>
      </c>
      <c r="J736" s="30" t="str">
        <f t="shared" si="34"/>
        <v/>
      </c>
      <c r="K736" s="26"/>
      <c r="L736" s="24" t="str">
        <f>IF(N736="","",IF(N736="T","Título de capítulo",IF(OR(ISERROR(F736),ISERROR(G736),ISERROR(H736)),"Error en fórmula: pegá como valores",IF(AND(B736="",$C$6=""),"Falta sector",IF(M736="","Falta capítulo",IF(TRIM(E736)="","Falta unidad",IF(NOT((COUNTIF(Listas!$A$2:$A$40,E736)+COUNTIF(Listas!$D$2:$D$60,E736)&gt;0)),"Unidad no reconocida",IF(AND(F736&lt;&gt;"",NOT(ISNUMBER(F736))),"Cantidad no es número",IF(N(F736)&lt;=0,"Falta cantidad",IF(OR(AND(G736&lt;&gt;"",NOT(ISNUMBER(G736))),AND(H736&lt;&gt;"",NOT(ISNUMBER(H736)))),"Precio no es número",IF(N(G736)+N(H736)&lt;=0,"Falta precio","✓ OK")))))))))))</f>
        <v/>
      </c>
      <c r="M736" t="str">
        <f>IF(N736&lt;&gt;"W","",IF(TRIM(C736)&lt;&gt;"",TRIM(C736),IFERROR(LOOKUP(2,1/(N$9:N736="T"),D$9:D736),"")))</f>
        <v/>
      </c>
      <c r="N736" t="str">
        <f t="shared" si="35"/>
        <v/>
      </c>
      <c r="O736" t="str">
        <f>IF(M736="","",IF(COUNTIF(M$9:M736,M736)=1,MAX(O$8:O735)+1,""))</f>
        <v/>
      </c>
    </row>
    <row r="737" spans="1:15" x14ac:dyDescent="0.75">
      <c r="A737" s="24" t="str">
        <f>IF(N737="W",COUNTIF(N$9:N737,"W"),"")</f>
        <v/>
      </c>
      <c r="B737" s="25"/>
      <c r="C737" s="25"/>
      <c r="D737" s="26"/>
      <c r="E737" s="25"/>
      <c r="F737" s="27"/>
      <c r="G737" s="28"/>
      <c r="H737" s="28"/>
      <c r="I737" s="29" t="str">
        <f t="shared" si="33"/>
        <v/>
      </c>
      <c r="J737" s="30" t="str">
        <f t="shared" si="34"/>
        <v/>
      </c>
      <c r="K737" s="26"/>
      <c r="L737" s="24" t="str">
        <f>IF(N737="","",IF(N737="T","Título de capítulo",IF(OR(ISERROR(F737),ISERROR(G737),ISERROR(H737)),"Error en fórmula: pegá como valores",IF(AND(B737="",$C$6=""),"Falta sector",IF(M737="","Falta capítulo",IF(TRIM(E737)="","Falta unidad",IF(NOT((COUNTIF(Listas!$A$2:$A$40,E737)+COUNTIF(Listas!$D$2:$D$60,E737)&gt;0)),"Unidad no reconocida",IF(AND(F737&lt;&gt;"",NOT(ISNUMBER(F737))),"Cantidad no es número",IF(N(F737)&lt;=0,"Falta cantidad",IF(OR(AND(G737&lt;&gt;"",NOT(ISNUMBER(G737))),AND(H737&lt;&gt;"",NOT(ISNUMBER(H737)))),"Precio no es número",IF(N(G737)+N(H737)&lt;=0,"Falta precio","✓ OK")))))))))))</f>
        <v/>
      </c>
      <c r="M737" t="str">
        <f>IF(N737&lt;&gt;"W","",IF(TRIM(C737)&lt;&gt;"",TRIM(C737),IFERROR(LOOKUP(2,1/(N$9:N737="T"),D$9:D737),"")))</f>
        <v/>
      </c>
      <c r="N737" t="str">
        <f t="shared" si="35"/>
        <v/>
      </c>
      <c r="O737" t="str">
        <f>IF(M737="","",IF(COUNTIF(M$9:M737,M737)=1,MAX(O$8:O736)+1,""))</f>
        <v/>
      </c>
    </row>
    <row r="738" spans="1:15" x14ac:dyDescent="0.75">
      <c r="A738" s="24" t="str">
        <f>IF(N738="W",COUNTIF(N$9:N738,"W"),"")</f>
        <v/>
      </c>
      <c r="B738" s="25"/>
      <c r="C738" s="25"/>
      <c r="D738" s="26"/>
      <c r="E738" s="25"/>
      <c r="F738" s="27"/>
      <c r="G738" s="28"/>
      <c r="H738" s="28"/>
      <c r="I738" s="29" t="str">
        <f t="shared" si="33"/>
        <v/>
      </c>
      <c r="J738" s="30" t="str">
        <f t="shared" si="34"/>
        <v/>
      </c>
      <c r="K738" s="26"/>
      <c r="L738" s="24" t="str">
        <f>IF(N738="","",IF(N738="T","Título de capítulo",IF(OR(ISERROR(F738),ISERROR(G738),ISERROR(H738)),"Error en fórmula: pegá como valores",IF(AND(B738="",$C$6=""),"Falta sector",IF(M738="","Falta capítulo",IF(TRIM(E738)="","Falta unidad",IF(NOT((COUNTIF(Listas!$A$2:$A$40,E738)+COUNTIF(Listas!$D$2:$D$60,E738)&gt;0)),"Unidad no reconocida",IF(AND(F738&lt;&gt;"",NOT(ISNUMBER(F738))),"Cantidad no es número",IF(N(F738)&lt;=0,"Falta cantidad",IF(OR(AND(G738&lt;&gt;"",NOT(ISNUMBER(G738))),AND(H738&lt;&gt;"",NOT(ISNUMBER(H738)))),"Precio no es número",IF(N(G738)+N(H738)&lt;=0,"Falta precio","✓ OK")))))))))))</f>
        <v/>
      </c>
      <c r="M738" t="str">
        <f>IF(N738&lt;&gt;"W","",IF(TRIM(C738)&lt;&gt;"",TRIM(C738),IFERROR(LOOKUP(2,1/(N$9:N738="T"),D$9:D738),"")))</f>
        <v/>
      </c>
      <c r="N738" t="str">
        <f t="shared" si="35"/>
        <v/>
      </c>
      <c r="O738" t="str">
        <f>IF(M738="","",IF(COUNTIF(M$9:M738,M738)=1,MAX(O$8:O737)+1,""))</f>
        <v/>
      </c>
    </row>
    <row r="739" spans="1:15" x14ac:dyDescent="0.75">
      <c r="A739" s="24" t="str">
        <f>IF(N739="W",COUNTIF(N$9:N739,"W"),"")</f>
        <v/>
      </c>
      <c r="B739" s="25"/>
      <c r="C739" s="25"/>
      <c r="D739" s="26"/>
      <c r="E739" s="25"/>
      <c r="F739" s="27"/>
      <c r="G739" s="28"/>
      <c r="H739" s="28"/>
      <c r="I739" s="29" t="str">
        <f t="shared" si="33"/>
        <v/>
      </c>
      <c r="J739" s="30" t="str">
        <f t="shared" si="34"/>
        <v/>
      </c>
      <c r="K739" s="26"/>
      <c r="L739" s="24" t="str">
        <f>IF(N739="","",IF(N739="T","Título de capítulo",IF(OR(ISERROR(F739),ISERROR(G739),ISERROR(H739)),"Error en fórmula: pegá como valores",IF(AND(B739="",$C$6=""),"Falta sector",IF(M739="","Falta capítulo",IF(TRIM(E739)="","Falta unidad",IF(NOT((COUNTIF(Listas!$A$2:$A$40,E739)+COUNTIF(Listas!$D$2:$D$60,E739)&gt;0)),"Unidad no reconocida",IF(AND(F739&lt;&gt;"",NOT(ISNUMBER(F739))),"Cantidad no es número",IF(N(F739)&lt;=0,"Falta cantidad",IF(OR(AND(G739&lt;&gt;"",NOT(ISNUMBER(G739))),AND(H739&lt;&gt;"",NOT(ISNUMBER(H739)))),"Precio no es número",IF(N(G739)+N(H739)&lt;=0,"Falta precio","✓ OK")))))))))))</f>
        <v/>
      </c>
      <c r="M739" t="str">
        <f>IF(N739&lt;&gt;"W","",IF(TRIM(C739)&lt;&gt;"",TRIM(C739),IFERROR(LOOKUP(2,1/(N$9:N739="T"),D$9:D739),"")))</f>
        <v/>
      </c>
      <c r="N739" t="str">
        <f t="shared" si="35"/>
        <v/>
      </c>
      <c r="O739" t="str">
        <f>IF(M739="","",IF(COUNTIF(M$9:M739,M739)=1,MAX(O$8:O738)+1,""))</f>
        <v/>
      </c>
    </row>
    <row r="740" spans="1:15" x14ac:dyDescent="0.75">
      <c r="A740" s="24" t="str">
        <f>IF(N740="W",COUNTIF(N$9:N740,"W"),"")</f>
        <v/>
      </c>
      <c r="B740" s="25"/>
      <c r="C740" s="25"/>
      <c r="D740" s="26"/>
      <c r="E740" s="25"/>
      <c r="F740" s="27"/>
      <c r="G740" s="28"/>
      <c r="H740" s="28"/>
      <c r="I740" s="29" t="str">
        <f t="shared" si="33"/>
        <v/>
      </c>
      <c r="J740" s="30" t="str">
        <f t="shared" si="34"/>
        <v/>
      </c>
      <c r="K740" s="26"/>
      <c r="L740" s="24" t="str">
        <f>IF(N740="","",IF(N740="T","Título de capítulo",IF(OR(ISERROR(F740),ISERROR(G740),ISERROR(H740)),"Error en fórmula: pegá como valores",IF(AND(B740="",$C$6=""),"Falta sector",IF(M740="","Falta capítulo",IF(TRIM(E740)="","Falta unidad",IF(NOT((COUNTIF(Listas!$A$2:$A$40,E740)+COUNTIF(Listas!$D$2:$D$60,E740)&gt;0)),"Unidad no reconocida",IF(AND(F740&lt;&gt;"",NOT(ISNUMBER(F740))),"Cantidad no es número",IF(N(F740)&lt;=0,"Falta cantidad",IF(OR(AND(G740&lt;&gt;"",NOT(ISNUMBER(G740))),AND(H740&lt;&gt;"",NOT(ISNUMBER(H740)))),"Precio no es número",IF(N(G740)+N(H740)&lt;=0,"Falta precio","✓ OK")))))))))))</f>
        <v/>
      </c>
      <c r="M740" t="str">
        <f>IF(N740&lt;&gt;"W","",IF(TRIM(C740)&lt;&gt;"",TRIM(C740),IFERROR(LOOKUP(2,1/(N$9:N740="T"),D$9:D740),"")))</f>
        <v/>
      </c>
      <c r="N740" t="str">
        <f t="shared" si="35"/>
        <v/>
      </c>
      <c r="O740" t="str">
        <f>IF(M740="","",IF(COUNTIF(M$9:M740,M740)=1,MAX(O$8:O739)+1,""))</f>
        <v/>
      </c>
    </row>
    <row r="741" spans="1:15" x14ac:dyDescent="0.75">
      <c r="A741" s="24" t="str">
        <f>IF(N741="W",COUNTIF(N$9:N741,"W"),"")</f>
        <v/>
      </c>
      <c r="B741" s="25"/>
      <c r="C741" s="25"/>
      <c r="D741" s="26"/>
      <c r="E741" s="25"/>
      <c r="F741" s="27"/>
      <c r="G741" s="28"/>
      <c r="H741" s="28"/>
      <c r="I741" s="29" t="str">
        <f t="shared" si="33"/>
        <v/>
      </c>
      <c r="J741" s="30" t="str">
        <f t="shared" si="34"/>
        <v/>
      </c>
      <c r="K741" s="26"/>
      <c r="L741" s="24" t="str">
        <f>IF(N741="","",IF(N741="T","Título de capítulo",IF(OR(ISERROR(F741),ISERROR(G741),ISERROR(H741)),"Error en fórmula: pegá como valores",IF(AND(B741="",$C$6=""),"Falta sector",IF(M741="","Falta capítulo",IF(TRIM(E741)="","Falta unidad",IF(NOT((COUNTIF(Listas!$A$2:$A$40,E741)+COUNTIF(Listas!$D$2:$D$60,E741)&gt;0)),"Unidad no reconocida",IF(AND(F741&lt;&gt;"",NOT(ISNUMBER(F741))),"Cantidad no es número",IF(N(F741)&lt;=0,"Falta cantidad",IF(OR(AND(G741&lt;&gt;"",NOT(ISNUMBER(G741))),AND(H741&lt;&gt;"",NOT(ISNUMBER(H741)))),"Precio no es número",IF(N(G741)+N(H741)&lt;=0,"Falta precio","✓ OK")))))))))))</f>
        <v/>
      </c>
      <c r="M741" t="str">
        <f>IF(N741&lt;&gt;"W","",IF(TRIM(C741)&lt;&gt;"",TRIM(C741),IFERROR(LOOKUP(2,1/(N$9:N741="T"),D$9:D741),"")))</f>
        <v/>
      </c>
      <c r="N741" t="str">
        <f t="shared" si="35"/>
        <v/>
      </c>
      <c r="O741" t="str">
        <f>IF(M741="","",IF(COUNTIF(M$9:M741,M741)=1,MAX(O$8:O740)+1,""))</f>
        <v/>
      </c>
    </row>
    <row r="742" spans="1:15" x14ac:dyDescent="0.75">
      <c r="A742" s="24" t="str">
        <f>IF(N742="W",COUNTIF(N$9:N742,"W"),"")</f>
        <v/>
      </c>
      <c r="B742" s="25"/>
      <c r="C742" s="25"/>
      <c r="D742" s="26"/>
      <c r="E742" s="25"/>
      <c r="F742" s="27"/>
      <c r="G742" s="28"/>
      <c r="H742" s="28"/>
      <c r="I742" s="29" t="str">
        <f t="shared" si="33"/>
        <v/>
      </c>
      <c r="J742" s="30" t="str">
        <f t="shared" si="34"/>
        <v/>
      </c>
      <c r="K742" s="26"/>
      <c r="L742" s="24" t="str">
        <f>IF(N742="","",IF(N742="T","Título de capítulo",IF(OR(ISERROR(F742),ISERROR(G742),ISERROR(H742)),"Error en fórmula: pegá como valores",IF(AND(B742="",$C$6=""),"Falta sector",IF(M742="","Falta capítulo",IF(TRIM(E742)="","Falta unidad",IF(NOT((COUNTIF(Listas!$A$2:$A$40,E742)+COUNTIF(Listas!$D$2:$D$60,E742)&gt;0)),"Unidad no reconocida",IF(AND(F742&lt;&gt;"",NOT(ISNUMBER(F742))),"Cantidad no es número",IF(N(F742)&lt;=0,"Falta cantidad",IF(OR(AND(G742&lt;&gt;"",NOT(ISNUMBER(G742))),AND(H742&lt;&gt;"",NOT(ISNUMBER(H742)))),"Precio no es número",IF(N(G742)+N(H742)&lt;=0,"Falta precio","✓ OK")))))))))))</f>
        <v/>
      </c>
      <c r="M742" t="str">
        <f>IF(N742&lt;&gt;"W","",IF(TRIM(C742)&lt;&gt;"",TRIM(C742),IFERROR(LOOKUP(2,1/(N$9:N742="T"),D$9:D742),"")))</f>
        <v/>
      </c>
      <c r="N742" t="str">
        <f t="shared" si="35"/>
        <v/>
      </c>
      <c r="O742" t="str">
        <f>IF(M742="","",IF(COUNTIF(M$9:M742,M742)=1,MAX(O$8:O741)+1,""))</f>
        <v/>
      </c>
    </row>
    <row r="743" spans="1:15" x14ac:dyDescent="0.75">
      <c r="A743" s="24" t="str">
        <f>IF(N743="W",COUNTIF(N$9:N743,"W"),"")</f>
        <v/>
      </c>
      <c r="B743" s="25"/>
      <c r="C743" s="25"/>
      <c r="D743" s="26"/>
      <c r="E743" s="25"/>
      <c r="F743" s="27"/>
      <c r="G743" s="28"/>
      <c r="H743" s="28"/>
      <c r="I743" s="29" t="str">
        <f t="shared" si="33"/>
        <v/>
      </c>
      <c r="J743" s="30" t="str">
        <f t="shared" si="34"/>
        <v/>
      </c>
      <c r="K743" s="26"/>
      <c r="L743" s="24" t="str">
        <f>IF(N743="","",IF(N743="T","Título de capítulo",IF(OR(ISERROR(F743),ISERROR(G743),ISERROR(H743)),"Error en fórmula: pegá como valores",IF(AND(B743="",$C$6=""),"Falta sector",IF(M743="","Falta capítulo",IF(TRIM(E743)="","Falta unidad",IF(NOT((COUNTIF(Listas!$A$2:$A$40,E743)+COUNTIF(Listas!$D$2:$D$60,E743)&gt;0)),"Unidad no reconocida",IF(AND(F743&lt;&gt;"",NOT(ISNUMBER(F743))),"Cantidad no es número",IF(N(F743)&lt;=0,"Falta cantidad",IF(OR(AND(G743&lt;&gt;"",NOT(ISNUMBER(G743))),AND(H743&lt;&gt;"",NOT(ISNUMBER(H743)))),"Precio no es número",IF(N(G743)+N(H743)&lt;=0,"Falta precio","✓ OK")))))))))))</f>
        <v/>
      </c>
      <c r="M743" t="str">
        <f>IF(N743&lt;&gt;"W","",IF(TRIM(C743)&lt;&gt;"",TRIM(C743),IFERROR(LOOKUP(2,1/(N$9:N743="T"),D$9:D743),"")))</f>
        <v/>
      </c>
      <c r="N743" t="str">
        <f t="shared" si="35"/>
        <v/>
      </c>
      <c r="O743" t="str">
        <f>IF(M743="","",IF(COUNTIF(M$9:M743,M743)=1,MAX(O$8:O742)+1,""))</f>
        <v/>
      </c>
    </row>
    <row r="744" spans="1:15" x14ac:dyDescent="0.75">
      <c r="A744" s="24" t="str">
        <f>IF(N744="W",COUNTIF(N$9:N744,"W"),"")</f>
        <v/>
      </c>
      <c r="B744" s="25"/>
      <c r="C744" s="25"/>
      <c r="D744" s="26"/>
      <c r="E744" s="25"/>
      <c r="F744" s="27"/>
      <c r="G744" s="28"/>
      <c r="H744" s="28"/>
      <c r="I744" s="29" t="str">
        <f t="shared" si="33"/>
        <v/>
      </c>
      <c r="J744" s="30" t="str">
        <f t="shared" si="34"/>
        <v/>
      </c>
      <c r="K744" s="26"/>
      <c r="L744" s="24" t="str">
        <f>IF(N744="","",IF(N744="T","Título de capítulo",IF(OR(ISERROR(F744),ISERROR(G744),ISERROR(H744)),"Error en fórmula: pegá como valores",IF(AND(B744="",$C$6=""),"Falta sector",IF(M744="","Falta capítulo",IF(TRIM(E744)="","Falta unidad",IF(NOT((COUNTIF(Listas!$A$2:$A$40,E744)+COUNTIF(Listas!$D$2:$D$60,E744)&gt;0)),"Unidad no reconocida",IF(AND(F744&lt;&gt;"",NOT(ISNUMBER(F744))),"Cantidad no es número",IF(N(F744)&lt;=0,"Falta cantidad",IF(OR(AND(G744&lt;&gt;"",NOT(ISNUMBER(G744))),AND(H744&lt;&gt;"",NOT(ISNUMBER(H744)))),"Precio no es número",IF(N(G744)+N(H744)&lt;=0,"Falta precio","✓ OK")))))))))))</f>
        <v/>
      </c>
      <c r="M744" t="str">
        <f>IF(N744&lt;&gt;"W","",IF(TRIM(C744)&lt;&gt;"",TRIM(C744),IFERROR(LOOKUP(2,1/(N$9:N744="T"),D$9:D744),"")))</f>
        <v/>
      </c>
      <c r="N744" t="str">
        <f t="shared" si="35"/>
        <v/>
      </c>
      <c r="O744" t="str">
        <f>IF(M744="","",IF(COUNTIF(M$9:M744,M744)=1,MAX(O$8:O743)+1,""))</f>
        <v/>
      </c>
    </row>
    <row r="745" spans="1:15" x14ac:dyDescent="0.75">
      <c r="A745" s="24" t="str">
        <f>IF(N745="W",COUNTIF(N$9:N745,"W"),"")</f>
        <v/>
      </c>
      <c r="B745" s="25"/>
      <c r="C745" s="25"/>
      <c r="D745" s="26"/>
      <c r="E745" s="25"/>
      <c r="F745" s="27"/>
      <c r="G745" s="28"/>
      <c r="H745" s="28"/>
      <c r="I745" s="29" t="str">
        <f t="shared" si="33"/>
        <v/>
      </c>
      <c r="J745" s="30" t="str">
        <f t="shared" si="34"/>
        <v/>
      </c>
      <c r="K745" s="26"/>
      <c r="L745" s="24" t="str">
        <f>IF(N745="","",IF(N745="T","Título de capítulo",IF(OR(ISERROR(F745),ISERROR(G745),ISERROR(H745)),"Error en fórmula: pegá como valores",IF(AND(B745="",$C$6=""),"Falta sector",IF(M745="","Falta capítulo",IF(TRIM(E745)="","Falta unidad",IF(NOT((COUNTIF(Listas!$A$2:$A$40,E745)+COUNTIF(Listas!$D$2:$D$60,E745)&gt;0)),"Unidad no reconocida",IF(AND(F745&lt;&gt;"",NOT(ISNUMBER(F745))),"Cantidad no es número",IF(N(F745)&lt;=0,"Falta cantidad",IF(OR(AND(G745&lt;&gt;"",NOT(ISNUMBER(G745))),AND(H745&lt;&gt;"",NOT(ISNUMBER(H745)))),"Precio no es número",IF(N(G745)+N(H745)&lt;=0,"Falta precio","✓ OK")))))))))))</f>
        <v/>
      </c>
      <c r="M745" t="str">
        <f>IF(N745&lt;&gt;"W","",IF(TRIM(C745)&lt;&gt;"",TRIM(C745),IFERROR(LOOKUP(2,1/(N$9:N745="T"),D$9:D745),"")))</f>
        <v/>
      </c>
      <c r="N745" t="str">
        <f t="shared" si="35"/>
        <v/>
      </c>
      <c r="O745" t="str">
        <f>IF(M745="","",IF(COUNTIF(M$9:M745,M745)=1,MAX(O$8:O744)+1,""))</f>
        <v/>
      </c>
    </row>
    <row r="746" spans="1:15" x14ac:dyDescent="0.75">
      <c r="A746" s="24" t="str">
        <f>IF(N746="W",COUNTIF(N$9:N746,"W"),"")</f>
        <v/>
      </c>
      <c r="B746" s="25"/>
      <c r="C746" s="25"/>
      <c r="D746" s="26"/>
      <c r="E746" s="25"/>
      <c r="F746" s="27"/>
      <c r="G746" s="28"/>
      <c r="H746" s="28"/>
      <c r="I746" s="29" t="str">
        <f t="shared" si="33"/>
        <v/>
      </c>
      <c r="J746" s="30" t="str">
        <f t="shared" si="34"/>
        <v/>
      </c>
      <c r="K746" s="26"/>
      <c r="L746" s="24" t="str">
        <f>IF(N746="","",IF(N746="T","Título de capítulo",IF(OR(ISERROR(F746),ISERROR(G746),ISERROR(H746)),"Error en fórmula: pegá como valores",IF(AND(B746="",$C$6=""),"Falta sector",IF(M746="","Falta capítulo",IF(TRIM(E746)="","Falta unidad",IF(NOT((COUNTIF(Listas!$A$2:$A$40,E746)+COUNTIF(Listas!$D$2:$D$60,E746)&gt;0)),"Unidad no reconocida",IF(AND(F746&lt;&gt;"",NOT(ISNUMBER(F746))),"Cantidad no es número",IF(N(F746)&lt;=0,"Falta cantidad",IF(OR(AND(G746&lt;&gt;"",NOT(ISNUMBER(G746))),AND(H746&lt;&gt;"",NOT(ISNUMBER(H746)))),"Precio no es número",IF(N(G746)+N(H746)&lt;=0,"Falta precio","✓ OK")))))))))))</f>
        <v/>
      </c>
      <c r="M746" t="str">
        <f>IF(N746&lt;&gt;"W","",IF(TRIM(C746)&lt;&gt;"",TRIM(C746),IFERROR(LOOKUP(2,1/(N$9:N746="T"),D$9:D746),"")))</f>
        <v/>
      </c>
      <c r="N746" t="str">
        <f t="shared" si="35"/>
        <v/>
      </c>
      <c r="O746" t="str">
        <f>IF(M746="","",IF(COUNTIF(M$9:M746,M746)=1,MAX(O$8:O745)+1,""))</f>
        <v/>
      </c>
    </row>
    <row r="747" spans="1:15" x14ac:dyDescent="0.75">
      <c r="A747" s="24" t="str">
        <f>IF(N747="W",COUNTIF(N$9:N747,"W"),"")</f>
        <v/>
      </c>
      <c r="B747" s="25"/>
      <c r="C747" s="25"/>
      <c r="D747" s="26"/>
      <c r="E747" s="25"/>
      <c r="F747" s="27"/>
      <c r="G747" s="28"/>
      <c r="H747" s="28"/>
      <c r="I747" s="29" t="str">
        <f t="shared" si="33"/>
        <v/>
      </c>
      <c r="J747" s="30" t="str">
        <f t="shared" si="34"/>
        <v/>
      </c>
      <c r="K747" s="26"/>
      <c r="L747" s="24" t="str">
        <f>IF(N747="","",IF(N747="T","Título de capítulo",IF(OR(ISERROR(F747),ISERROR(G747),ISERROR(H747)),"Error en fórmula: pegá como valores",IF(AND(B747="",$C$6=""),"Falta sector",IF(M747="","Falta capítulo",IF(TRIM(E747)="","Falta unidad",IF(NOT((COUNTIF(Listas!$A$2:$A$40,E747)+COUNTIF(Listas!$D$2:$D$60,E747)&gt;0)),"Unidad no reconocida",IF(AND(F747&lt;&gt;"",NOT(ISNUMBER(F747))),"Cantidad no es número",IF(N(F747)&lt;=0,"Falta cantidad",IF(OR(AND(G747&lt;&gt;"",NOT(ISNUMBER(G747))),AND(H747&lt;&gt;"",NOT(ISNUMBER(H747)))),"Precio no es número",IF(N(G747)+N(H747)&lt;=0,"Falta precio","✓ OK")))))))))))</f>
        <v/>
      </c>
      <c r="M747" t="str">
        <f>IF(N747&lt;&gt;"W","",IF(TRIM(C747)&lt;&gt;"",TRIM(C747),IFERROR(LOOKUP(2,1/(N$9:N747="T"),D$9:D747),"")))</f>
        <v/>
      </c>
      <c r="N747" t="str">
        <f t="shared" si="35"/>
        <v/>
      </c>
      <c r="O747" t="str">
        <f>IF(M747="","",IF(COUNTIF(M$9:M747,M747)=1,MAX(O$8:O746)+1,""))</f>
        <v/>
      </c>
    </row>
    <row r="748" spans="1:15" x14ac:dyDescent="0.75">
      <c r="A748" s="24" t="str">
        <f>IF(N748="W",COUNTIF(N$9:N748,"W"),"")</f>
        <v/>
      </c>
      <c r="B748" s="25"/>
      <c r="C748" s="25"/>
      <c r="D748" s="26"/>
      <c r="E748" s="25"/>
      <c r="F748" s="27"/>
      <c r="G748" s="28"/>
      <c r="H748" s="28"/>
      <c r="I748" s="29" t="str">
        <f t="shared" si="33"/>
        <v/>
      </c>
      <c r="J748" s="30" t="str">
        <f t="shared" si="34"/>
        <v/>
      </c>
      <c r="K748" s="26"/>
      <c r="L748" s="24" t="str">
        <f>IF(N748="","",IF(N748="T","Título de capítulo",IF(OR(ISERROR(F748),ISERROR(G748),ISERROR(H748)),"Error en fórmula: pegá como valores",IF(AND(B748="",$C$6=""),"Falta sector",IF(M748="","Falta capítulo",IF(TRIM(E748)="","Falta unidad",IF(NOT((COUNTIF(Listas!$A$2:$A$40,E748)+COUNTIF(Listas!$D$2:$D$60,E748)&gt;0)),"Unidad no reconocida",IF(AND(F748&lt;&gt;"",NOT(ISNUMBER(F748))),"Cantidad no es número",IF(N(F748)&lt;=0,"Falta cantidad",IF(OR(AND(G748&lt;&gt;"",NOT(ISNUMBER(G748))),AND(H748&lt;&gt;"",NOT(ISNUMBER(H748)))),"Precio no es número",IF(N(G748)+N(H748)&lt;=0,"Falta precio","✓ OK")))))))))))</f>
        <v/>
      </c>
      <c r="M748" t="str">
        <f>IF(N748&lt;&gt;"W","",IF(TRIM(C748)&lt;&gt;"",TRIM(C748),IFERROR(LOOKUP(2,1/(N$9:N748="T"),D$9:D748),"")))</f>
        <v/>
      </c>
      <c r="N748" t="str">
        <f t="shared" si="35"/>
        <v/>
      </c>
      <c r="O748" t="str">
        <f>IF(M748="","",IF(COUNTIF(M$9:M748,M748)=1,MAX(O$8:O747)+1,""))</f>
        <v/>
      </c>
    </row>
    <row r="749" spans="1:15" x14ac:dyDescent="0.75">
      <c r="A749" s="24" t="str">
        <f>IF(N749="W",COUNTIF(N$9:N749,"W"),"")</f>
        <v/>
      </c>
      <c r="B749" s="25"/>
      <c r="C749" s="25"/>
      <c r="D749" s="26"/>
      <c r="E749" s="25"/>
      <c r="F749" s="27"/>
      <c r="G749" s="28"/>
      <c r="H749" s="28"/>
      <c r="I749" s="29" t="str">
        <f t="shared" si="33"/>
        <v/>
      </c>
      <c r="J749" s="30" t="str">
        <f t="shared" si="34"/>
        <v/>
      </c>
      <c r="K749" s="26"/>
      <c r="L749" s="24" t="str">
        <f>IF(N749="","",IF(N749="T","Título de capítulo",IF(OR(ISERROR(F749),ISERROR(G749),ISERROR(H749)),"Error en fórmula: pegá como valores",IF(AND(B749="",$C$6=""),"Falta sector",IF(M749="","Falta capítulo",IF(TRIM(E749)="","Falta unidad",IF(NOT((COUNTIF(Listas!$A$2:$A$40,E749)+COUNTIF(Listas!$D$2:$D$60,E749)&gt;0)),"Unidad no reconocida",IF(AND(F749&lt;&gt;"",NOT(ISNUMBER(F749))),"Cantidad no es número",IF(N(F749)&lt;=0,"Falta cantidad",IF(OR(AND(G749&lt;&gt;"",NOT(ISNUMBER(G749))),AND(H749&lt;&gt;"",NOT(ISNUMBER(H749)))),"Precio no es número",IF(N(G749)+N(H749)&lt;=0,"Falta precio","✓ OK")))))))))))</f>
        <v/>
      </c>
      <c r="M749" t="str">
        <f>IF(N749&lt;&gt;"W","",IF(TRIM(C749)&lt;&gt;"",TRIM(C749),IFERROR(LOOKUP(2,1/(N$9:N749="T"),D$9:D749),"")))</f>
        <v/>
      </c>
      <c r="N749" t="str">
        <f t="shared" si="35"/>
        <v/>
      </c>
      <c r="O749" t="str">
        <f>IF(M749="","",IF(COUNTIF(M$9:M749,M749)=1,MAX(O$8:O748)+1,""))</f>
        <v/>
      </c>
    </row>
    <row r="750" spans="1:15" x14ac:dyDescent="0.75">
      <c r="A750" s="24" t="str">
        <f>IF(N750="W",COUNTIF(N$9:N750,"W"),"")</f>
        <v/>
      </c>
      <c r="B750" s="25"/>
      <c r="C750" s="25"/>
      <c r="D750" s="26"/>
      <c r="E750" s="25"/>
      <c r="F750" s="27"/>
      <c r="G750" s="28"/>
      <c r="H750" s="28"/>
      <c r="I750" s="29" t="str">
        <f t="shared" si="33"/>
        <v/>
      </c>
      <c r="J750" s="30" t="str">
        <f t="shared" si="34"/>
        <v/>
      </c>
      <c r="K750" s="26"/>
      <c r="L750" s="24" t="str">
        <f>IF(N750="","",IF(N750="T","Título de capítulo",IF(OR(ISERROR(F750),ISERROR(G750),ISERROR(H750)),"Error en fórmula: pegá como valores",IF(AND(B750="",$C$6=""),"Falta sector",IF(M750="","Falta capítulo",IF(TRIM(E750)="","Falta unidad",IF(NOT((COUNTIF(Listas!$A$2:$A$40,E750)+COUNTIF(Listas!$D$2:$D$60,E750)&gt;0)),"Unidad no reconocida",IF(AND(F750&lt;&gt;"",NOT(ISNUMBER(F750))),"Cantidad no es número",IF(N(F750)&lt;=0,"Falta cantidad",IF(OR(AND(G750&lt;&gt;"",NOT(ISNUMBER(G750))),AND(H750&lt;&gt;"",NOT(ISNUMBER(H750)))),"Precio no es número",IF(N(G750)+N(H750)&lt;=0,"Falta precio","✓ OK")))))))))))</f>
        <v/>
      </c>
      <c r="M750" t="str">
        <f>IF(N750&lt;&gt;"W","",IF(TRIM(C750)&lt;&gt;"",TRIM(C750),IFERROR(LOOKUP(2,1/(N$9:N750="T"),D$9:D750),"")))</f>
        <v/>
      </c>
      <c r="N750" t="str">
        <f t="shared" si="35"/>
        <v/>
      </c>
      <c r="O750" t="str">
        <f>IF(M750="","",IF(COUNTIF(M$9:M750,M750)=1,MAX(O$8:O749)+1,""))</f>
        <v/>
      </c>
    </row>
    <row r="751" spans="1:15" x14ac:dyDescent="0.75">
      <c r="A751" s="24" t="str">
        <f>IF(N751="W",COUNTIF(N$9:N751,"W"),"")</f>
        <v/>
      </c>
      <c r="B751" s="25"/>
      <c r="C751" s="25"/>
      <c r="D751" s="26"/>
      <c r="E751" s="25"/>
      <c r="F751" s="27"/>
      <c r="G751" s="28"/>
      <c r="H751" s="28"/>
      <c r="I751" s="29" t="str">
        <f t="shared" si="33"/>
        <v/>
      </c>
      <c r="J751" s="30" t="str">
        <f t="shared" si="34"/>
        <v/>
      </c>
      <c r="K751" s="26"/>
      <c r="L751" s="24" t="str">
        <f>IF(N751="","",IF(N751="T","Título de capítulo",IF(OR(ISERROR(F751),ISERROR(G751),ISERROR(H751)),"Error en fórmula: pegá como valores",IF(AND(B751="",$C$6=""),"Falta sector",IF(M751="","Falta capítulo",IF(TRIM(E751)="","Falta unidad",IF(NOT((COUNTIF(Listas!$A$2:$A$40,E751)+COUNTIF(Listas!$D$2:$D$60,E751)&gt;0)),"Unidad no reconocida",IF(AND(F751&lt;&gt;"",NOT(ISNUMBER(F751))),"Cantidad no es número",IF(N(F751)&lt;=0,"Falta cantidad",IF(OR(AND(G751&lt;&gt;"",NOT(ISNUMBER(G751))),AND(H751&lt;&gt;"",NOT(ISNUMBER(H751)))),"Precio no es número",IF(N(G751)+N(H751)&lt;=0,"Falta precio","✓ OK")))))))))))</f>
        <v/>
      </c>
      <c r="M751" t="str">
        <f>IF(N751&lt;&gt;"W","",IF(TRIM(C751)&lt;&gt;"",TRIM(C751),IFERROR(LOOKUP(2,1/(N$9:N751="T"),D$9:D751),"")))</f>
        <v/>
      </c>
      <c r="N751" t="str">
        <f t="shared" si="35"/>
        <v/>
      </c>
      <c r="O751" t="str">
        <f>IF(M751="","",IF(COUNTIF(M$9:M751,M751)=1,MAX(O$8:O750)+1,""))</f>
        <v/>
      </c>
    </row>
    <row r="752" spans="1:15" x14ac:dyDescent="0.75">
      <c r="A752" s="24" t="str">
        <f>IF(N752="W",COUNTIF(N$9:N752,"W"),"")</f>
        <v/>
      </c>
      <c r="B752" s="25"/>
      <c r="C752" s="25"/>
      <c r="D752" s="26"/>
      <c r="E752" s="25"/>
      <c r="F752" s="27"/>
      <c r="G752" s="28"/>
      <c r="H752" s="28"/>
      <c r="I752" s="29" t="str">
        <f t="shared" si="33"/>
        <v/>
      </c>
      <c r="J752" s="30" t="str">
        <f t="shared" si="34"/>
        <v/>
      </c>
      <c r="K752" s="26"/>
      <c r="L752" s="24" t="str">
        <f>IF(N752="","",IF(N752="T","Título de capítulo",IF(OR(ISERROR(F752),ISERROR(G752),ISERROR(H752)),"Error en fórmula: pegá como valores",IF(AND(B752="",$C$6=""),"Falta sector",IF(M752="","Falta capítulo",IF(TRIM(E752)="","Falta unidad",IF(NOT((COUNTIF(Listas!$A$2:$A$40,E752)+COUNTIF(Listas!$D$2:$D$60,E752)&gt;0)),"Unidad no reconocida",IF(AND(F752&lt;&gt;"",NOT(ISNUMBER(F752))),"Cantidad no es número",IF(N(F752)&lt;=0,"Falta cantidad",IF(OR(AND(G752&lt;&gt;"",NOT(ISNUMBER(G752))),AND(H752&lt;&gt;"",NOT(ISNUMBER(H752)))),"Precio no es número",IF(N(G752)+N(H752)&lt;=0,"Falta precio","✓ OK")))))))))))</f>
        <v/>
      </c>
      <c r="M752" t="str">
        <f>IF(N752&lt;&gt;"W","",IF(TRIM(C752)&lt;&gt;"",TRIM(C752),IFERROR(LOOKUP(2,1/(N$9:N752="T"),D$9:D752),"")))</f>
        <v/>
      </c>
      <c r="N752" t="str">
        <f t="shared" si="35"/>
        <v/>
      </c>
      <c r="O752" t="str">
        <f>IF(M752="","",IF(COUNTIF(M$9:M752,M752)=1,MAX(O$8:O751)+1,""))</f>
        <v/>
      </c>
    </row>
    <row r="753" spans="1:15" x14ac:dyDescent="0.75">
      <c r="A753" s="24" t="str">
        <f>IF(N753="W",COUNTIF(N$9:N753,"W"),"")</f>
        <v/>
      </c>
      <c r="B753" s="25"/>
      <c r="C753" s="25"/>
      <c r="D753" s="26"/>
      <c r="E753" s="25"/>
      <c r="F753" s="27"/>
      <c r="G753" s="28"/>
      <c r="H753" s="28"/>
      <c r="I753" s="29" t="str">
        <f t="shared" si="33"/>
        <v/>
      </c>
      <c r="J753" s="30" t="str">
        <f t="shared" si="34"/>
        <v/>
      </c>
      <c r="K753" s="26"/>
      <c r="L753" s="24" t="str">
        <f>IF(N753="","",IF(N753="T","Título de capítulo",IF(OR(ISERROR(F753),ISERROR(G753),ISERROR(H753)),"Error en fórmula: pegá como valores",IF(AND(B753="",$C$6=""),"Falta sector",IF(M753="","Falta capítulo",IF(TRIM(E753)="","Falta unidad",IF(NOT((COUNTIF(Listas!$A$2:$A$40,E753)+COUNTIF(Listas!$D$2:$D$60,E753)&gt;0)),"Unidad no reconocida",IF(AND(F753&lt;&gt;"",NOT(ISNUMBER(F753))),"Cantidad no es número",IF(N(F753)&lt;=0,"Falta cantidad",IF(OR(AND(G753&lt;&gt;"",NOT(ISNUMBER(G753))),AND(H753&lt;&gt;"",NOT(ISNUMBER(H753)))),"Precio no es número",IF(N(G753)+N(H753)&lt;=0,"Falta precio","✓ OK")))))))))))</f>
        <v/>
      </c>
      <c r="M753" t="str">
        <f>IF(N753&lt;&gt;"W","",IF(TRIM(C753)&lt;&gt;"",TRIM(C753),IFERROR(LOOKUP(2,1/(N$9:N753="T"),D$9:D753),"")))</f>
        <v/>
      </c>
      <c r="N753" t="str">
        <f t="shared" si="35"/>
        <v/>
      </c>
      <c r="O753" t="str">
        <f>IF(M753="","",IF(COUNTIF(M$9:M753,M753)=1,MAX(O$8:O752)+1,""))</f>
        <v/>
      </c>
    </row>
    <row r="754" spans="1:15" x14ac:dyDescent="0.75">
      <c r="A754" s="24" t="str">
        <f>IF(N754="W",COUNTIF(N$9:N754,"W"),"")</f>
        <v/>
      </c>
      <c r="B754" s="25"/>
      <c r="C754" s="25"/>
      <c r="D754" s="26"/>
      <c r="E754" s="25"/>
      <c r="F754" s="27"/>
      <c r="G754" s="28"/>
      <c r="H754" s="28"/>
      <c r="I754" s="29" t="str">
        <f t="shared" si="33"/>
        <v/>
      </c>
      <c r="J754" s="30" t="str">
        <f t="shared" si="34"/>
        <v/>
      </c>
      <c r="K754" s="26"/>
      <c r="L754" s="24" t="str">
        <f>IF(N754="","",IF(N754="T","Título de capítulo",IF(OR(ISERROR(F754),ISERROR(G754),ISERROR(H754)),"Error en fórmula: pegá como valores",IF(AND(B754="",$C$6=""),"Falta sector",IF(M754="","Falta capítulo",IF(TRIM(E754)="","Falta unidad",IF(NOT((COUNTIF(Listas!$A$2:$A$40,E754)+COUNTIF(Listas!$D$2:$D$60,E754)&gt;0)),"Unidad no reconocida",IF(AND(F754&lt;&gt;"",NOT(ISNUMBER(F754))),"Cantidad no es número",IF(N(F754)&lt;=0,"Falta cantidad",IF(OR(AND(G754&lt;&gt;"",NOT(ISNUMBER(G754))),AND(H754&lt;&gt;"",NOT(ISNUMBER(H754)))),"Precio no es número",IF(N(G754)+N(H754)&lt;=0,"Falta precio","✓ OK")))))))))))</f>
        <v/>
      </c>
      <c r="M754" t="str">
        <f>IF(N754&lt;&gt;"W","",IF(TRIM(C754)&lt;&gt;"",TRIM(C754),IFERROR(LOOKUP(2,1/(N$9:N754="T"),D$9:D754),"")))</f>
        <v/>
      </c>
      <c r="N754" t="str">
        <f t="shared" si="35"/>
        <v/>
      </c>
      <c r="O754" t="str">
        <f>IF(M754="","",IF(COUNTIF(M$9:M754,M754)=1,MAX(O$8:O753)+1,""))</f>
        <v/>
      </c>
    </row>
    <row r="755" spans="1:15" x14ac:dyDescent="0.75">
      <c r="A755" s="24" t="str">
        <f>IF(N755="W",COUNTIF(N$9:N755,"W"),"")</f>
        <v/>
      </c>
      <c r="B755" s="25"/>
      <c r="C755" s="25"/>
      <c r="D755" s="26"/>
      <c r="E755" s="25"/>
      <c r="F755" s="27"/>
      <c r="G755" s="28"/>
      <c r="H755" s="28"/>
      <c r="I755" s="29" t="str">
        <f t="shared" si="33"/>
        <v/>
      </c>
      <c r="J755" s="30" t="str">
        <f t="shared" si="34"/>
        <v/>
      </c>
      <c r="K755" s="26"/>
      <c r="L755" s="24" t="str">
        <f>IF(N755="","",IF(N755="T","Título de capítulo",IF(OR(ISERROR(F755),ISERROR(G755),ISERROR(H755)),"Error en fórmula: pegá como valores",IF(AND(B755="",$C$6=""),"Falta sector",IF(M755="","Falta capítulo",IF(TRIM(E755)="","Falta unidad",IF(NOT((COUNTIF(Listas!$A$2:$A$40,E755)+COUNTIF(Listas!$D$2:$D$60,E755)&gt;0)),"Unidad no reconocida",IF(AND(F755&lt;&gt;"",NOT(ISNUMBER(F755))),"Cantidad no es número",IF(N(F755)&lt;=0,"Falta cantidad",IF(OR(AND(G755&lt;&gt;"",NOT(ISNUMBER(G755))),AND(H755&lt;&gt;"",NOT(ISNUMBER(H755)))),"Precio no es número",IF(N(G755)+N(H755)&lt;=0,"Falta precio","✓ OK")))))))))))</f>
        <v/>
      </c>
      <c r="M755" t="str">
        <f>IF(N755&lt;&gt;"W","",IF(TRIM(C755)&lt;&gt;"",TRIM(C755),IFERROR(LOOKUP(2,1/(N$9:N755="T"),D$9:D755),"")))</f>
        <v/>
      </c>
      <c r="N755" t="str">
        <f t="shared" si="35"/>
        <v/>
      </c>
      <c r="O755" t="str">
        <f>IF(M755="","",IF(COUNTIF(M$9:M755,M755)=1,MAX(O$8:O754)+1,""))</f>
        <v/>
      </c>
    </row>
    <row r="756" spans="1:15" x14ac:dyDescent="0.75">
      <c r="A756" s="24" t="str">
        <f>IF(N756="W",COUNTIF(N$9:N756,"W"),"")</f>
        <v/>
      </c>
      <c r="B756" s="25"/>
      <c r="C756" s="25"/>
      <c r="D756" s="26"/>
      <c r="E756" s="25"/>
      <c r="F756" s="27"/>
      <c r="G756" s="28"/>
      <c r="H756" s="28"/>
      <c r="I756" s="29" t="str">
        <f t="shared" si="33"/>
        <v/>
      </c>
      <c r="J756" s="30" t="str">
        <f t="shared" si="34"/>
        <v/>
      </c>
      <c r="K756" s="26"/>
      <c r="L756" s="24" t="str">
        <f>IF(N756="","",IF(N756="T","Título de capítulo",IF(OR(ISERROR(F756),ISERROR(G756),ISERROR(H756)),"Error en fórmula: pegá como valores",IF(AND(B756="",$C$6=""),"Falta sector",IF(M756="","Falta capítulo",IF(TRIM(E756)="","Falta unidad",IF(NOT((COUNTIF(Listas!$A$2:$A$40,E756)+COUNTIF(Listas!$D$2:$D$60,E756)&gt;0)),"Unidad no reconocida",IF(AND(F756&lt;&gt;"",NOT(ISNUMBER(F756))),"Cantidad no es número",IF(N(F756)&lt;=0,"Falta cantidad",IF(OR(AND(G756&lt;&gt;"",NOT(ISNUMBER(G756))),AND(H756&lt;&gt;"",NOT(ISNUMBER(H756)))),"Precio no es número",IF(N(G756)+N(H756)&lt;=0,"Falta precio","✓ OK")))))))))))</f>
        <v/>
      </c>
      <c r="M756" t="str">
        <f>IF(N756&lt;&gt;"W","",IF(TRIM(C756)&lt;&gt;"",TRIM(C756),IFERROR(LOOKUP(2,1/(N$9:N756="T"),D$9:D756),"")))</f>
        <v/>
      </c>
      <c r="N756" t="str">
        <f t="shared" si="35"/>
        <v/>
      </c>
      <c r="O756" t="str">
        <f>IF(M756="","",IF(COUNTIF(M$9:M756,M756)=1,MAX(O$8:O755)+1,""))</f>
        <v/>
      </c>
    </row>
    <row r="757" spans="1:15" x14ac:dyDescent="0.75">
      <c r="A757" s="24" t="str">
        <f>IF(N757="W",COUNTIF(N$9:N757,"W"),"")</f>
        <v/>
      </c>
      <c r="B757" s="25"/>
      <c r="C757" s="25"/>
      <c r="D757" s="26"/>
      <c r="E757" s="25"/>
      <c r="F757" s="27"/>
      <c r="G757" s="28"/>
      <c r="H757" s="28"/>
      <c r="I757" s="29" t="str">
        <f t="shared" si="33"/>
        <v/>
      </c>
      <c r="J757" s="30" t="str">
        <f t="shared" si="34"/>
        <v/>
      </c>
      <c r="K757" s="26"/>
      <c r="L757" s="24" t="str">
        <f>IF(N757="","",IF(N757="T","Título de capítulo",IF(OR(ISERROR(F757),ISERROR(G757),ISERROR(H757)),"Error en fórmula: pegá como valores",IF(AND(B757="",$C$6=""),"Falta sector",IF(M757="","Falta capítulo",IF(TRIM(E757)="","Falta unidad",IF(NOT((COUNTIF(Listas!$A$2:$A$40,E757)+COUNTIF(Listas!$D$2:$D$60,E757)&gt;0)),"Unidad no reconocida",IF(AND(F757&lt;&gt;"",NOT(ISNUMBER(F757))),"Cantidad no es número",IF(N(F757)&lt;=0,"Falta cantidad",IF(OR(AND(G757&lt;&gt;"",NOT(ISNUMBER(G757))),AND(H757&lt;&gt;"",NOT(ISNUMBER(H757)))),"Precio no es número",IF(N(G757)+N(H757)&lt;=0,"Falta precio","✓ OK")))))))))))</f>
        <v/>
      </c>
      <c r="M757" t="str">
        <f>IF(N757&lt;&gt;"W","",IF(TRIM(C757)&lt;&gt;"",TRIM(C757),IFERROR(LOOKUP(2,1/(N$9:N757="T"),D$9:D757),"")))</f>
        <v/>
      </c>
      <c r="N757" t="str">
        <f t="shared" si="35"/>
        <v/>
      </c>
      <c r="O757" t="str">
        <f>IF(M757="","",IF(COUNTIF(M$9:M757,M757)=1,MAX(O$8:O756)+1,""))</f>
        <v/>
      </c>
    </row>
    <row r="758" spans="1:15" x14ac:dyDescent="0.75">
      <c r="A758" s="24" t="str">
        <f>IF(N758="W",COUNTIF(N$9:N758,"W"),"")</f>
        <v/>
      </c>
      <c r="B758" s="25"/>
      <c r="C758" s="25"/>
      <c r="D758" s="26"/>
      <c r="E758" s="25"/>
      <c r="F758" s="27"/>
      <c r="G758" s="28"/>
      <c r="H758" s="28"/>
      <c r="I758" s="29" t="str">
        <f t="shared" si="33"/>
        <v/>
      </c>
      <c r="J758" s="30" t="str">
        <f t="shared" si="34"/>
        <v/>
      </c>
      <c r="K758" s="26"/>
      <c r="L758" s="24" t="str">
        <f>IF(N758="","",IF(N758="T","Título de capítulo",IF(OR(ISERROR(F758),ISERROR(G758),ISERROR(H758)),"Error en fórmula: pegá como valores",IF(AND(B758="",$C$6=""),"Falta sector",IF(M758="","Falta capítulo",IF(TRIM(E758)="","Falta unidad",IF(NOT((COUNTIF(Listas!$A$2:$A$40,E758)+COUNTIF(Listas!$D$2:$D$60,E758)&gt;0)),"Unidad no reconocida",IF(AND(F758&lt;&gt;"",NOT(ISNUMBER(F758))),"Cantidad no es número",IF(N(F758)&lt;=0,"Falta cantidad",IF(OR(AND(G758&lt;&gt;"",NOT(ISNUMBER(G758))),AND(H758&lt;&gt;"",NOT(ISNUMBER(H758)))),"Precio no es número",IF(N(G758)+N(H758)&lt;=0,"Falta precio","✓ OK")))))))))))</f>
        <v/>
      </c>
      <c r="M758" t="str">
        <f>IF(N758&lt;&gt;"W","",IF(TRIM(C758)&lt;&gt;"",TRIM(C758),IFERROR(LOOKUP(2,1/(N$9:N758="T"),D$9:D758),"")))</f>
        <v/>
      </c>
      <c r="N758" t="str">
        <f t="shared" si="35"/>
        <v/>
      </c>
      <c r="O758" t="str">
        <f>IF(M758="","",IF(COUNTIF(M$9:M758,M758)=1,MAX(O$8:O757)+1,""))</f>
        <v/>
      </c>
    </row>
    <row r="759" spans="1:15" x14ac:dyDescent="0.75">
      <c r="A759" s="24" t="str">
        <f>IF(N759="W",COUNTIF(N$9:N759,"W"),"")</f>
        <v/>
      </c>
      <c r="B759" s="25"/>
      <c r="C759" s="25"/>
      <c r="D759" s="26"/>
      <c r="E759" s="25"/>
      <c r="F759" s="27"/>
      <c r="G759" s="28"/>
      <c r="H759" s="28"/>
      <c r="I759" s="29" t="str">
        <f t="shared" si="33"/>
        <v/>
      </c>
      <c r="J759" s="30" t="str">
        <f t="shared" si="34"/>
        <v/>
      </c>
      <c r="K759" s="26"/>
      <c r="L759" s="24" t="str">
        <f>IF(N759="","",IF(N759="T","Título de capítulo",IF(OR(ISERROR(F759),ISERROR(G759),ISERROR(H759)),"Error en fórmula: pegá como valores",IF(AND(B759="",$C$6=""),"Falta sector",IF(M759="","Falta capítulo",IF(TRIM(E759)="","Falta unidad",IF(NOT((COUNTIF(Listas!$A$2:$A$40,E759)+COUNTIF(Listas!$D$2:$D$60,E759)&gt;0)),"Unidad no reconocida",IF(AND(F759&lt;&gt;"",NOT(ISNUMBER(F759))),"Cantidad no es número",IF(N(F759)&lt;=0,"Falta cantidad",IF(OR(AND(G759&lt;&gt;"",NOT(ISNUMBER(G759))),AND(H759&lt;&gt;"",NOT(ISNUMBER(H759)))),"Precio no es número",IF(N(G759)+N(H759)&lt;=0,"Falta precio","✓ OK")))))))))))</f>
        <v/>
      </c>
      <c r="M759" t="str">
        <f>IF(N759&lt;&gt;"W","",IF(TRIM(C759)&lt;&gt;"",TRIM(C759),IFERROR(LOOKUP(2,1/(N$9:N759="T"),D$9:D759),"")))</f>
        <v/>
      </c>
      <c r="N759" t="str">
        <f t="shared" si="35"/>
        <v/>
      </c>
      <c r="O759" t="str">
        <f>IF(M759="","",IF(COUNTIF(M$9:M759,M759)=1,MAX(O$8:O758)+1,""))</f>
        <v/>
      </c>
    </row>
    <row r="760" spans="1:15" x14ac:dyDescent="0.75">
      <c r="A760" s="24" t="str">
        <f>IF(N760="W",COUNTIF(N$9:N760,"W"),"")</f>
        <v/>
      </c>
      <c r="B760" s="25"/>
      <c r="C760" s="25"/>
      <c r="D760" s="26"/>
      <c r="E760" s="25"/>
      <c r="F760" s="27"/>
      <c r="G760" s="28"/>
      <c r="H760" s="28"/>
      <c r="I760" s="29" t="str">
        <f t="shared" si="33"/>
        <v/>
      </c>
      <c r="J760" s="30" t="str">
        <f t="shared" si="34"/>
        <v/>
      </c>
      <c r="K760" s="26"/>
      <c r="L760" s="24" t="str">
        <f>IF(N760="","",IF(N760="T","Título de capítulo",IF(OR(ISERROR(F760),ISERROR(G760),ISERROR(H760)),"Error en fórmula: pegá como valores",IF(AND(B760="",$C$6=""),"Falta sector",IF(M760="","Falta capítulo",IF(TRIM(E760)="","Falta unidad",IF(NOT((COUNTIF(Listas!$A$2:$A$40,E760)+COUNTIF(Listas!$D$2:$D$60,E760)&gt;0)),"Unidad no reconocida",IF(AND(F760&lt;&gt;"",NOT(ISNUMBER(F760))),"Cantidad no es número",IF(N(F760)&lt;=0,"Falta cantidad",IF(OR(AND(G760&lt;&gt;"",NOT(ISNUMBER(G760))),AND(H760&lt;&gt;"",NOT(ISNUMBER(H760)))),"Precio no es número",IF(N(G760)+N(H760)&lt;=0,"Falta precio","✓ OK")))))))))))</f>
        <v/>
      </c>
      <c r="M760" t="str">
        <f>IF(N760&lt;&gt;"W","",IF(TRIM(C760)&lt;&gt;"",TRIM(C760),IFERROR(LOOKUP(2,1/(N$9:N760="T"),D$9:D760),"")))</f>
        <v/>
      </c>
      <c r="N760" t="str">
        <f t="shared" si="35"/>
        <v/>
      </c>
      <c r="O760" t="str">
        <f>IF(M760="","",IF(COUNTIF(M$9:M760,M760)=1,MAX(O$8:O759)+1,""))</f>
        <v/>
      </c>
    </row>
    <row r="761" spans="1:15" x14ac:dyDescent="0.75">
      <c r="A761" s="24" t="str">
        <f>IF(N761="W",COUNTIF(N$9:N761,"W"),"")</f>
        <v/>
      </c>
      <c r="B761" s="25"/>
      <c r="C761" s="25"/>
      <c r="D761" s="26"/>
      <c r="E761" s="25"/>
      <c r="F761" s="27"/>
      <c r="G761" s="28"/>
      <c r="H761" s="28"/>
      <c r="I761" s="29" t="str">
        <f t="shared" si="33"/>
        <v/>
      </c>
      <c r="J761" s="30" t="str">
        <f t="shared" si="34"/>
        <v/>
      </c>
      <c r="K761" s="26"/>
      <c r="L761" s="24" t="str">
        <f>IF(N761="","",IF(N761="T","Título de capítulo",IF(OR(ISERROR(F761),ISERROR(G761),ISERROR(H761)),"Error en fórmula: pegá como valores",IF(AND(B761="",$C$6=""),"Falta sector",IF(M761="","Falta capítulo",IF(TRIM(E761)="","Falta unidad",IF(NOT((COUNTIF(Listas!$A$2:$A$40,E761)+COUNTIF(Listas!$D$2:$D$60,E761)&gt;0)),"Unidad no reconocida",IF(AND(F761&lt;&gt;"",NOT(ISNUMBER(F761))),"Cantidad no es número",IF(N(F761)&lt;=0,"Falta cantidad",IF(OR(AND(G761&lt;&gt;"",NOT(ISNUMBER(G761))),AND(H761&lt;&gt;"",NOT(ISNUMBER(H761)))),"Precio no es número",IF(N(G761)+N(H761)&lt;=0,"Falta precio","✓ OK")))))))))))</f>
        <v/>
      </c>
      <c r="M761" t="str">
        <f>IF(N761&lt;&gt;"W","",IF(TRIM(C761)&lt;&gt;"",TRIM(C761),IFERROR(LOOKUP(2,1/(N$9:N761="T"),D$9:D761),"")))</f>
        <v/>
      </c>
      <c r="N761" t="str">
        <f t="shared" si="35"/>
        <v/>
      </c>
      <c r="O761" t="str">
        <f>IF(M761="","",IF(COUNTIF(M$9:M761,M761)=1,MAX(O$8:O760)+1,""))</f>
        <v/>
      </c>
    </row>
    <row r="762" spans="1:15" x14ac:dyDescent="0.75">
      <c r="A762" s="24" t="str">
        <f>IF(N762="W",COUNTIF(N$9:N762,"W"),"")</f>
        <v/>
      </c>
      <c r="B762" s="25"/>
      <c r="C762" s="25"/>
      <c r="D762" s="26"/>
      <c r="E762" s="25"/>
      <c r="F762" s="27"/>
      <c r="G762" s="28"/>
      <c r="H762" s="28"/>
      <c r="I762" s="29" t="str">
        <f t="shared" si="33"/>
        <v/>
      </c>
      <c r="J762" s="30" t="str">
        <f t="shared" si="34"/>
        <v/>
      </c>
      <c r="K762" s="26"/>
      <c r="L762" s="24" t="str">
        <f>IF(N762="","",IF(N762="T","Título de capítulo",IF(OR(ISERROR(F762),ISERROR(G762),ISERROR(H762)),"Error en fórmula: pegá como valores",IF(AND(B762="",$C$6=""),"Falta sector",IF(M762="","Falta capítulo",IF(TRIM(E762)="","Falta unidad",IF(NOT((COUNTIF(Listas!$A$2:$A$40,E762)+COUNTIF(Listas!$D$2:$D$60,E762)&gt;0)),"Unidad no reconocida",IF(AND(F762&lt;&gt;"",NOT(ISNUMBER(F762))),"Cantidad no es número",IF(N(F762)&lt;=0,"Falta cantidad",IF(OR(AND(G762&lt;&gt;"",NOT(ISNUMBER(G762))),AND(H762&lt;&gt;"",NOT(ISNUMBER(H762)))),"Precio no es número",IF(N(G762)+N(H762)&lt;=0,"Falta precio","✓ OK")))))))))))</f>
        <v/>
      </c>
      <c r="M762" t="str">
        <f>IF(N762&lt;&gt;"W","",IF(TRIM(C762)&lt;&gt;"",TRIM(C762),IFERROR(LOOKUP(2,1/(N$9:N762="T"),D$9:D762),"")))</f>
        <v/>
      </c>
      <c r="N762" t="str">
        <f t="shared" si="35"/>
        <v/>
      </c>
      <c r="O762" t="str">
        <f>IF(M762="","",IF(COUNTIF(M$9:M762,M762)=1,MAX(O$8:O761)+1,""))</f>
        <v/>
      </c>
    </row>
    <row r="763" spans="1:15" x14ac:dyDescent="0.75">
      <c r="A763" s="24" t="str">
        <f>IF(N763="W",COUNTIF(N$9:N763,"W"),"")</f>
        <v/>
      </c>
      <c r="B763" s="25"/>
      <c r="C763" s="25"/>
      <c r="D763" s="26"/>
      <c r="E763" s="25"/>
      <c r="F763" s="27"/>
      <c r="G763" s="28"/>
      <c r="H763" s="28"/>
      <c r="I763" s="29" t="str">
        <f t="shared" si="33"/>
        <v/>
      </c>
      <c r="J763" s="30" t="str">
        <f t="shared" si="34"/>
        <v/>
      </c>
      <c r="K763" s="26"/>
      <c r="L763" s="24" t="str">
        <f>IF(N763="","",IF(N763="T","Título de capítulo",IF(OR(ISERROR(F763),ISERROR(G763),ISERROR(H763)),"Error en fórmula: pegá como valores",IF(AND(B763="",$C$6=""),"Falta sector",IF(M763="","Falta capítulo",IF(TRIM(E763)="","Falta unidad",IF(NOT((COUNTIF(Listas!$A$2:$A$40,E763)+COUNTIF(Listas!$D$2:$D$60,E763)&gt;0)),"Unidad no reconocida",IF(AND(F763&lt;&gt;"",NOT(ISNUMBER(F763))),"Cantidad no es número",IF(N(F763)&lt;=0,"Falta cantidad",IF(OR(AND(G763&lt;&gt;"",NOT(ISNUMBER(G763))),AND(H763&lt;&gt;"",NOT(ISNUMBER(H763)))),"Precio no es número",IF(N(G763)+N(H763)&lt;=0,"Falta precio","✓ OK")))))))))))</f>
        <v/>
      </c>
      <c r="M763" t="str">
        <f>IF(N763&lt;&gt;"W","",IF(TRIM(C763)&lt;&gt;"",TRIM(C763),IFERROR(LOOKUP(2,1/(N$9:N763="T"),D$9:D763),"")))</f>
        <v/>
      </c>
      <c r="N763" t="str">
        <f t="shared" si="35"/>
        <v/>
      </c>
      <c r="O763" t="str">
        <f>IF(M763="","",IF(COUNTIF(M$9:M763,M763)=1,MAX(O$8:O762)+1,""))</f>
        <v/>
      </c>
    </row>
    <row r="764" spans="1:15" x14ac:dyDescent="0.75">
      <c r="A764" s="24" t="str">
        <f>IF(N764="W",COUNTIF(N$9:N764,"W"),"")</f>
        <v/>
      </c>
      <c r="B764" s="25"/>
      <c r="C764" s="25"/>
      <c r="D764" s="26"/>
      <c r="E764" s="25"/>
      <c r="F764" s="27"/>
      <c r="G764" s="28"/>
      <c r="H764" s="28"/>
      <c r="I764" s="29" t="str">
        <f t="shared" si="33"/>
        <v/>
      </c>
      <c r="J764" s="30" t="str">
        <f t="shared" si="34"/>
        <v/>
      </c>
      <c r="K764" s="26"/>
      <c r="L764" s="24" t="str">
        <f>IF(N764="","",IF(N764="T","Título de capítulo",IF(OR(ISERROR(F764),ISERROR(G764),ISERROR(H764)),"Error en fórmula: pegá como valores",IF(AND(B764="",$C$6=""),"Falta sector",IF(M764="","Falta capítulo",IF(TRIM(E764)="","Falta unidad",IF(NOT((COUNTIF(Listas!$A$2:$A$40,E764)+COUNTIF(Listas!$D$2:$D$60,E764)&gt;0)),"Unidad no reconocida",IF(AND(F764&lt;&gt;"",NOT(ISNUMBER(F764))),"Cantidad no es número",IF(N(F764)&lt;=0,"Falta cantidad",IF(OR(AND(G764&lt;&gt;"",NOT(ISNUMBER(G764))),AND(H764&lt;&gt;"",NOT(ISNUMBER(H764)))),"Precio no es número",IF(N(G764)+N(H764)&lt;=0,"Falta precio","✓ OK")))))))))))</f>
        <v/>
      </c>
      <c r="M764" t="str">
        <f>IF(N764&lt;&gt;"W","",IF(TRIM(C764)&lt;&gt;"",TRIM(C764),IFERROR(LOOKUP(2,1/(N$9:N764="T"),D$9:D764),"")))</f>
        <v/>
      </c>
      <c r="N764" t="str">
        <f t="shared" si="35"/>
        <v/>
      </c>
      <c r="O764" t="str">
        <f>IF(M764="","",IF(COUNTIF(M$9:M764,M764)=1,MAX(O$8:O763)+1,""))</f>
        <v/>
      </c>
    </row>
    <row r="765" spans="1:15" x14ac:dyDescent="0.75">
      <c r="A765" s="24" t="str">
        <f>IF(N765="W",COUNTIF(N$9:N765,"W"),"")</f>
        <v/>
      </c>
      <c r="B765" s="25"/>
      <c r="C765" s="25"/>
      <c r="D765" s="26"/>
      <c r="E765" s="25"/>
      <c r="F765" s="27"/>
      <c r="G765" s="28"/>
      <c r="H765" s="28"/>
      <c r="I765" s="29" t="str">
        <f t="shared" si="33"/>
        <v/>
      </c>
      <c r="J765" s="30" t="str">
        <f t="shared" si="34"/>
        <v/>
      </c>
      <c r="K765" s="26"/>
      <c r="L765" s="24" t="str">
        <f>IF(N765="","",IF(N765="T","Título de capítulo",IF(OR(ISERROR(F765),ISERROR(G765),ISERROR(H765)),"Error en fórmula: pegá como valores",IF(AND(B765="",$C$6=""),"Falta sector",IF(M765="","Falta capítulo",IF(TRIM(E765)="","Falta unidad",IF(NOT((COUNTIF(Listas!$A$2:$A$40,E765)+COUNTIF(Listas!$D$2:$D$60,E765)&gt;0)),"Unidad no reconocida",IF(AND(F765&lt;&gt;"",NOT(ISNUMBER(F765))),"Cantidad no es número",IF(N(F765)&lt;=0,"Falta cantidad",IF(OR(AND(G765&lt;&gt;"",NOT(ISNUMBER(G765))),AND(H765&lt;&gt;"",NOT(ISNUMBER(H765)))),"Precio no es número",IF(N(G765)+N(H765)&lt;=0,"Falta precio","✓ OK")))))))))))</f>
        <v/>
      </c>
      <c r="M765" t="str">
        <f>IF(N765&lt;&gt;"W","",IF(TRIM(C765)&lt;&gt;"",TRIM(C765),IFERROR(LOOKUP(2,1/(N$9:N765="T"),D$9:D765),"")))</f>
        <v/>
      </c>
      <c r="N765" t="str">
        <f t="shared" si="35"/>
        <v/>
      </c>
      <c r="O765" t="str">
        <f>IF(M765="","",IF(COUNTIF(M$9:M765,M765)=1,MAX(O$8:O764)+1,""))</f>
        <v/>
      </c>
    </row>
    <row r="766" spans="1:15" x14ac:dyDescent="0.75">
      <c r="A766" s="24" t="str">
        <f>IF(N766="W",COUNTIF(N$9:N766,"W"),"")</f>
        <v/>
      </c>
      <c r="B766" s="25"/>
      <c r="C766" s="25"/>
      <c r="D766" s="26"/>
      <c r="E766" s="25"/>
      <c r="F766" s="27"/>
      <c r="G766" s="28"/>
      <c r="H766" s="28"/>
      <c r="I766" s="29" t="str">
        <f t="shared" si="33"/>
        <v/>
      </c>
      <c r="J766" s="30" t="str">
        <f t="shared" si="34"/>
        <v/>
      </c>
      <c r="K766" s="26"/>
      <c r="L766" s="24" t="str">
        <f>IF(N766="","",IF(N766="T","Título de capítulo",IF(OR(ISERROR(F766),ISERROR(G766),ISERROR(H766)),"Error en fórmula: pegá como valores",IF(AND(B766="",$C$6=""),"Falta sector",IF(M766="","Falta capítulo",IF(TRIM(E766)="","Falta unidad",IF(NOT((COUNTIF(Listas!$A$2:$A$40,E766)+COUNTIF(Listas!$D$2:$D$60,E766)&gt;0)),"Unidad no reconocida",IF(AND(F766&lt;&gt;"",NOT(ISNUMBER(F766))),"Cantidad no es número",IF(N(F766)&lt;=0,"Falta cantidad",IF(OR(AND(G766&lt;&gt;"",NOT(ISNUMBER(G766))),AND(H766&lt;&gt;"",NOT(ISNUMBER(H766)))),"Precio no es número",IF(N(G766)+N(H766)&lt;=0,"Falta precio","✓ OK")))))))))))</f>
        <v/>
      </c>
      <c r="M766" t="str">
        <f>IF(N766&lt;&gt;"W","",IF(TRIM(C766)&lt;&gt;"",TRIM(C766),IFERROR(LOOKUP(2,1/(N$9:N766="T"),D$9:D766),"")))</f>
        <v/>
      </c>
      <c r="N766" t="str">
        <f t="shared" si="35"/>
        <v/>
      </c>
      <c r="O766" t="str">
        <f>IF(M766="","",IF(COUNTIF(M$9:M766,M766)=1,MAX(O$8:O765)+1,""))</f>
        <v/>
      </c>
    </row>
    <row r="767" spans="1:15" x14ac:dyDescent="0.75">
      <c r="A767" s="24" t="str">
        <f>IF(N767="W",COUNTIF(N$9:N767,"W"),"")</f>
        <v/>
      </c>
      <c r="B767" s="25"/>
      <c r="C767" s="25"/>
      <c r="D767" s="26"/>
      <c r="E767" s="25"/>
      <c r="F767" s="27"/>
      <c r="G767" s="28"/>
      <c r="H767" s="28"/>
      <c r="I767" s="29" t="str">
        <f t="shared" si="33"/>
        <v/>
      </c>
      <c r="J767" s="30" t="str">
        <f t="shared" si="34"/>
        <v/>
      </c>
      <c r="K767" s="26"/>
      <c r="L767" s="24" t="str">
        <f>IF(N767="","",IF(N767="T","Título de capítulo",IF(OR(ISERROR(F767),ISERROR(G767),ISERROR(H767)),"Error en fórmula: pegá como valores",IF(AND(B767="",$C$6=""),"Falta sector",IF(M767="","Falta capítulo",IF(TRIM(E767)="","Falta unidad",IF(NOT((COUNTIF(Listas!$A$2:$A$40,E767)+COUNTIF(Listas!$D$2:$D$60,E767)&gt;0)),"Unidad no reconocida",IF(AND(F767&lt;&gt;"",NOT(ISNUMBER(F767))),"Cantidad no es número",IF(N(F767)&lt;=0,"Falta cantidad",IF(OR(AND(G767&lt;&gt;"",NOT(ISNUMBER(G767))),AND(H767&lt;&gt;"",NOT(ISNUMBER(H767)))),"Precio no es número",IF(N(G767)+N(H767)&lt;=0,"Falta precio","✓ OK")))))))))))</f>
        <v/>
      </c>
      <c r="M767" t="str">
        <f>IF(N767&lt;&gt;"W","",IF(TRIM(C767)&lt;&gt;"",TRIM(C767),IFERROR(LOOKUP(2,1/(N$9:N767="T"),D$9:D767),"")))</f>
        <v/>
      </c>
      <c r="N767" t="str">
        <f t="shared" si="35"/>
        <v/>
      </c>
      <c r="O767" t="str">
        <f>IF(M767="","",IF(COUNTIF(M$9:M767,M767)=1,MAX(O$8:O766)+1,""))</f>
        <v/>
      </c>
    </row>
    <row r="768" spans="1:15" x14ac:dyDescent="0.75">
      <c r="A768" s="24" t="str">
        <f>IF(N768="W",COUNTIF(N$9:N768,"W"),"")</f>
        <v/>
      </c>
      <c r="B768" s="25"/>
      <c r="C768" s="25"/>
      <c r="D768" s="26"/>
      <c r="E768" s="25"/>
      <c r="F768" s="27"/>
      <c r="G768" s="28"/>
      <c r="H768" s="28"/>
      <c r="I768" s="29" t="str">
        <f t="shared" si="33"/>
        <v/>
      </c>
      <c r="J768" s="30" t="str">
        <f t="shared" si="34"/>
        <v/>
      </c>
      <c r="K768" s="26"/>
      <c r="L768" s="24" t="str">
        <f>IF(N768="","",IF(N768="T","Título de capítulo",IF(OR(ISERROR(F768),ISERROR(G768),ISERROR(H768)),"Error en fórmula: pegá como valores",IF(AND(B768="",$C$6=""),"Falta sector",IF(M768="","Falta capítulo",IF(TRIM(E768)="","Falta unidad",IF(NOT((COUNTIF(Listas!$A$2:$A$40,E768)+COUNTIF(Listas!$D$2:$D$60,E768)&gt;0)),"Unidad no reconocida",IF(AND(F768&lt;&gt;"",NOT(ISNUMBER(F768))),"Cantidad no es número",IF(N(F768)&lt;=0,"Falta cantidad",IF(OR(AND(G768&lt;&gt;"",NOT(ISNUMBER(G768))),AND(H768&lt;&gt;"",NOT(ISNUMBER(H768)))),"Precio no es número",IF(N(G768)+N(H768)&lt;=0,"Falta precio","✓ OK")))))))))))</f>
        <v/>
      </c>
      <c r="M768" t="str">
        <f>IF(N768&lt;&gt;"W","",IF(TRIM(C768)&lt;&gt;"",TRIM(C768),IFERROR(LOOKUP(2,1/(N$9:N768="T"),D$9:D768),"")))</f>
        <v/>
      </c>
      <c r="N768" t="str">
        <f t="shared" si="35"/>
        <v/>
      </c>
      <c r="O768" t="str">
        <f>IF(M768="","",IF(COUNTIF(M$9:M768,M768)=1,MAX(O$8:O767)+1,""))</f>
        <v/>
      </c>
    </row>
    <row r="769" spans="1:15" x14ac:dyDescent="0.75">
      <c r="A769" s="24" t="str">
        <f>IF(N769="W",COUNTIF(N$9:N769,"W"),"")</f>
        <v/>
      </c>
      <c r="B769" s="25"/>
      <c r="C769" s="25"/>
      <c r="D769" s="26"/>
      <c r="E769" s="25"/>
      <c r="F769" s="27"/>
      <c r="G769" s="28"/>
      <c r="H769" s="28"/>
      <c r="I769" s="29" t="str">
        <f t="shared" si="33"/>
        <v/>
      </c>
      <c r="J769" s="30" t="str">
        <f t="shared" si="34"/>
        <v/>
      </c>
      <c r="K769" s="26"/>
      <c r="L769" s="24" t="str">
        <f>IF(N769="","",IF(N769="T","Título de capítulo",IF(OR(ISERROR(F769),ISERROR(G769),ISERROR(H769)),"Error en fórmula: pegá como valores",IF(AND(B769="",$C$6=""),"Falta sector",IF(M769="","Falta capítulo",IF(TRIM(E769)="","Falta unidad",IF(NOT((COUNTIF(Listas!$A$2:$A$40,E769)+COUNTIF(Listas!$D$2:$D$60,E769)&gt;0)),"Unidad no reconocida",IF(AND(F769&lt;&gt;"",NOT(ISNUMBER(F769))),"Cantidad no es número",IF(N(F769)&lt;=0,"Falta cantidad",IF(OR(AND(G769&lt;&gt;"",NOT(ISNUMBER(G769))),AND(H769&lt;&gt;"",NOT(ISNUMBER(H769)))),"Precio no es número",IF(N(G769)+N(H769)&lt;=0,"Falta precio","✓ OK")))))))))))</f>
        <v/>
      </c>
      <c r="M769" t="str">
        <f>IF(N769&lt;&gt;"W","",IF(TRIM(C769)&lt;&gt;"",TRIM(C769),IFERROR(LOOKUP(2,1/(N$9:N769="T"),D$9:D769),"")))</f>
        <v/>
      </c>
      <c r="N769" t="str">
        <f t="shared" si="35"/>
        <v/>
      </c>
      <c r="O769" t="str">
        <f>IF(M769="","",IF(COUNTIF(M$9:M769,M769)=1,MAX(O$8:O768)+1,""))</f>
        <v/>
      </c>
    </row>
    <row r="770" spans="1:15" x14ac:dyDescent="0.75">
      <c r="A770" s="24" t="str">
        <f>IF(N770="W",COUNTIF(N$9:N770,"W"),"")</f>
        <v/>
      </c>
      <c r="B770" s="25"/>
      <c r="C770" s="25"/>
      <c r="D770" s="26"/>
      <c r="E770" s="25"/>
      <c r="F770" s="27"/>
      <c r="G770" s="28"/>
      <c r="H770" s="28"/>
      <c r="I770" s="29" t="str">
        <f t="shared" si="33"/>
        <v/>
      </c>
      <c r="J770" s="30" t="str">
        <f t="shared" si="34"/>
        <v/>
      </c>
      <c r="K770" s="26"/>
      <c r="L770" s="24" t="str">
        <f>IF(N770="","",IF(N770="T","Título de capítulo",IF(OR(ISERROR(F770),ISERROR(G770),ISERROR(H770)),"Error en fórmula: pegá como valores",IF(AND(B770="",$C$6=""),"Falta sector",IF(M770="","Falta capítulo",IF(TRIM(E770)="","Falta unidad",IF(NOT((COUNTIF(Listas!$A$2:$A$40,E770)+COUNTIF(Listas!$D$2:$D$60,E770)&gt;0)),"Unidad no reconocida",IF(AND(F770&lt;&gt;"",NOT(ISNUMBER(F770))),"Cantidad no es número",IF(N(F770)&lt;=0,"Falta cantidad",IF(OR(AND(G770&lt;&gt;"",NOT(ISNUMBER(G770))),AND(H770&lt;&gt;"",NOT(ISNUMBER(H770)))),"Precio no es número",IF(N(G770)+N(H770)&lt;=0,"Falta precio","✓ OK")))))))))))</f>
        <v/>
      </c>
      <c r="M770" t="str">
        <f>IF(N770&lt;&gt;"W","",IF(TRIM(C770)&lt;&gt;"",TRIM(C770),IFERROR(LOOKUP(2,1/(N$9:N770="T"),D$9:D770),"")))</f>
        <v/>
      </c>
      <c r="N770" t="str">
        <f t="shared" si="35"/>
        <v/>
      </c>
      <c r="O770" t="str">
        <f>IF(M770="","",IF(COUNTIF(M$9:M770,M770)=1,MAX(O$8:O769)+1,""))</f>
        <v/>
      </c>
    </row>
    <row r="771" spans="1:15" x14ac:dyDescent="0.75">
      <c r="A771" s="24" t="str">
        <f>IF(N771="W",COUNTIF(N$9:N771,"W"),"")</f>
        <v/>
      </c>
      <c r="B771" s="25"/>
      <c r="C771" s="25"/>
      <c r="D771" s="26"/>
      <c r="E771" s="25"/>
      <c r="F771" s="27"/>
      <c r="G771" s="28"/>
      <c r="H771" s="28"/>
      <c r="I771" s="29" t="str">
        <f t="shared" si="33"/>
        <v/>
      </c>
      <c r="J771" s="30" t="str">
        <f t="shared" si="34"/>
        <v/>
      </c>
      <c r="K771" s="26"/>
      <c r="L771" s="24" t="str">
        <f>IF(N771="","",IF(N771="T","Título de capítulo",IF(OR(ISERROR(F771),ISERROR(G771),ISERROR(H771)),"Error en fórmula: pegá como valores",IF(AND(B771="",$C$6=""),"Falta sector",IF(M771="","Falta capítulo",IF(TRIM(E771)="","Falta unidad",IF(NOT((COUNTIF(Listas!$A$2:$A$40,E771)+COUNTIF(Listas!$D$2:$D$60,E771)&gt;0)),"Unidad no reconocida",IF(AND(F771&lt;&gt;"",NOT(ISNUMBER(F771))),"Cantidad no es número",IF(N(F771)&lt;=0,"Falta cantidad",IF(OR(AND(G771&lt;&gt;"",NOT(ISNUMBER(G771))),AND(H771&lt;&gt;"",NOT(ISNUMBER(H771)))),"Precio no es número",IF(N(G771)+N(H771)&lt;=0,"Falta precio","✓ OK")))))))))))</f>
        <v/>
      </c>
      <c r="M771" t="str">
        <f>IF(N771&lt;&gt;"W","",IF(TRIM(C771)&lt;&gt;"",TRIM(C771),IFERROR(LOOKUP(2,1/(N$9:N771="T"),D$9:D771),"")))</f>
        <v/>
      </c>
      <c r="N771" t="str">
        <f t="shared" si="35"/>
        <v/>
      </c>
      <c r="O771" t="str">
        <f>IF(M771="","",IF(COUNTIF(M$9:M771,M771)=1,MAX(O$8:O770)+1,""))</f>
        <v/>
      </c>
    </row>
    <row r="772" spans="1:15" x14ac:dyDescent="0.75">
      <c r="A772" s="24" t="str">
        <f>IF(N772="W",COUNTIF(N$9:N772,"W"),"")</f>
        <v/>
      </c>
      <c r="B772" s="25"/>
      <c r="C772" s="25"/>
      <c r="D772" s="26"/>
      <c r="E772" s="25"/>
      <c r="F772" s="27"/>
      <c r="G772" s="28"/>
      <c r="H772" s="28"/>
      <c r="I772" s="29" t="str">
        <f t="shared" si="33"/>
        <v/>
      </c>
      <c r="J772" s="30" t="str">
        <f t="shared" si="34"/>
        <v/>
      </c>
      <c r="K772" s="26"/>
      <c r="L772" s="24" t="str">
        <f>IF(N772="","",IF(N772="T","Título de capítulo",IF(OR(ISERROR(F772),ISERROR(G772),ISERROR(H772)),"Error en fórmula: pegá como valores",IF(AND(B772="",$C$6=""),"Falta sector",IF(M772="","Falta capítulo",IF(TRIM(E772)="","Falta unidad",IF(NOT((COUNTIF(Listas!$A$2:$A$40,E772)+COUNTIF(Listas!$D$2:$D$60,E772)&gt;0)),"Unidad no reconocida",IF(AND(F772&lt;&gt;"",NOT(ISNUMBER(F772))),"Cantidad no es número",IF(N(F772)&lt;=0,"Falta cantidad",IF(OR(AND(G772&lt;&gt;"",NOT(ISNUMBER(G772))),AND(H772&lt;&gt;"",NOT(ISNUMBER(H772)))),"Precio no es número",IF(N(G772)+N(H772)&lt;=0,"Falta precio","✓ OK")))))))))))</f>
        <v/>
      </c>
      <c r="M772" t="str">
        <f>IF(N772&lt;&gt;"W","",IF(TRIM(C772)&lt;&gt;"",TRIM(C772),IFERROR(LOOKUP(2,1/(N$9:N772="T"),D$9:D772),"")))</f>
        <v/>
      </c>
      <c r="N772" t="str">
        <f t="shared" si="35"/>
        <v/>
      </c>
      <c r="O772" t="str">
        <f>IF(M772="","",IF(COUNTIF(M$9:M772,M772)=1,MAX(O$8:O771)+1,""))</f>
        <v/>
      </c>
    </row>
    <row r="773" spans="1:15" x14ac:dyDescent="0.75">
      <c r="A773" s="24" t="str">
        <f>IF(N773="W",COUNTIF(N$9:N773,"W"),"")</f>
        <v/>
      </c>
      <c r="B773" s="25"/>
      <c r="C773" s="25"/>
      <c r="D773" s="26"/>
      <c r="E773" s="25"/>
      <c r="F773" s="27"/>
      <c r="G773" s="28"/>
      <c r="H773" s="28"/>
      <c r="I773" s="29" t="str">
        <f t="shared" si="33"/>
        <v/>
      </c>
      <c r="J773" s="30" t="str">
        <f t="shared" si="34"/>
        <v/>
      </c>
      <c r="K773" s="26"/>
      <c r="L773" s="24" t="str">
        <f>IF(N773="","",IF(N773="T","Título de capítulo",IF(OR(ISERROR(F773),ISERROR(G773),ISERROR(H773)),"Error en fórmula: pegá como valores",IF(AND(B773="",$C$6=""),"Falta sector",IF(M773="","Falta capítulo",IF(TRIM(E773)="","Falta unidad",IF(NOT((COUNTIF(Listas!$A$2:$A$40,E773)+COUNTIF(Listas!$D$2:$D$60,E773)&gt;0)),"Unidad no reconocida",IF(AND(F773&lt;&gt;"",NOT(ISNUMBER(F773))),"Cantidad no es número",IF(N(F773)&lt;=0,"Falta cantidad",IF(OR(AND(G773&lt;&gt;"",NOT(ISNUMBER(G773))),AND(H773&lt;&gt;"",NOT(ISNUMBER(H773)))),"Precio no es número",IF(N(G773)+N(H773)&lt;=0,"Falta precio","✓ OK")))))))))))</f>
        <v/>
      </c>
      <c r="M773" t="str">
        <f>IF(N773&lt;&gt;"W","",IF(TRIM(C773)&lt;&gt;"",TRIM(C773),IFERROR(LOOKUP(2,1/(N$9:N773="T"),D$9:D773),"")))</f>
        <v/>
      </c>
      <c r="N773" t="str">
        <f t="shared" si="35"/>
        <v/>
      </c>
      <c r="O773" t="str">
        <f>IF(M773="","",IF(COUNTIF(M$9:M773,M773)=1,MAX(O$8:O772)+1,""))</f>
        <v/>
      </c>
    </row>
    <row r="774" spans="1:15" x14ac:dyDescent="0.75">
      <c r="A774" s="24" t="str">
        <f>IF(N774="W",COUNTIF(N$9:N774,"W"),"")</f>
        <v/>
      </c>
      <c r="B774" s="25"/>
      <c r="C774" s="25"/>
      <c r="D774" s="26"/>
      <c r="E774" s="25"/>
      <c r="F774" s="27"/>
      <c r="G774" s="28"/>
      <c r="H774" s="28"/>
      <c r="I774" s="29" t="str">
        <f t="shared" si="33"/>
        <v/>
      </c>
      <c r="J774" s="30" t="str">
        <f t="shared" si="34"/>
        <v/>
      </c>
      <c r="K774" s="26"/>
      <c r="L774" s="24" t="str">
        <f>IF(N774="","",IF(N774="T","Título de capítulo",IF(OR(ISERROR(F774),ISERROR(G774),ISERROR(H774)),"Error en fórmula: pegá como valores",IF(AND(B774="",$C$6=""),"Falta sector",IF(M774="","Falta capítulo",IF(TRIM(E774)="","Falta unidad",IF(NOT((COUNTIF(Listas!$A$2:$A$40,E774)+COUNTIF(Listas!$D$2:$D$60,E774)&gt;0)),"Unidad no reconocida",IF(AND(F774&lt;&gt;"",NOT(ISNUMBER(F774))),"Cantidad no es número",IF(N(F774)&lt;=0,"Falta cantidad",IF(OR(AND(G774&lt;&gt;"",NOT(ISNUMBER(G774))),AND(H774&lt;&gt;"",NOT(ISNUMBER(H774)))),"Precio no es número",IF(N(G774)+N(H774)&lt;=0,"Falta precio","✓ OK")))))))))))</f>
        <v/>
      </c>
      <c r="M774" t="str">
        <f>IF(N774&lt;&gt;"W","",IF(TRIM(C774)&lt;&gt;"",TRIM(C774),IFERROR(LOOKUP(2,1/(N$9:N774="T"),D$9:D774),"")))</f>
        <v/>
      </c>
      <c r="N774" t="str">
        <f t="shared" si="35"/>
        <v/>
      </c>
      <c r="O774" t="str">
        <f>IF(M774="","",IF(COUNTIF(M$9:M774,M774)=1,MAX(O$8:O773)+1,""))</f>
        <v/>
      </c>
    </row>
    <row r="775" spans="1:15" x14ac:dyDescent="0.75">
      <c r="A775" s="24" t="str">
        <f>IF(N775="W",COUNTIF(N$9:N775,"W"),"")</f>
        <v/>
      </c>
      <c r="B775" s="25"/>
      <c r="C775" s="25"/>
      <c r="D775" s="26"/>
      <c r="E775" s="25"/>
      <c r="F775" s="27"/>
      <c r="G775" s="28"/>
      <c r="H775" s="28"/>
      <c r="I775" s="29" t="str">
        <f t="shared" si="33"/>
        <v/>
      </c>
      <c r="J775" s="30" t="str">
        <f t="shared" si="34"/>
        <v/>
      </c>
      <c r="K775" s="26"/>
      <c r="L775" s="24" t="str">
        <f>IF(N775="","",IF(N775="T","Título de capítulo",IF(OR(ISERROR(F775),ISERROR(G775),ISERROR(H775)),"Error en fórmula: pegá como valores",IF(AND(B775="",$C$6=""),"Falta sector",IF(M775="","Falta capítulo",IF(TRIM(E775)="","Falta unidad",IF(NOT((COUNTIF(Listas!$A$2:$A$40,E775)+COUNTIF(Listas!$D$2:$D$60,E775)&gt;0)),"Unidad no reconocida",IF(AND(F775&lt;&gt;"",NOT(ISNUMBER(F775))),"Cantidad no es número",IF(N(F775)&lt;=0,"Falta cantidad",IF(OR(AND(G775&lt;&gt;"",NOT(ISNUMBER(G775))),AND(H775&lt;&gt;"",NOT(ISNUMBER(H775)))),"Precio no es número",IF(N(G775)+N(H775)&lt;=0,"Falta precio","✓ OK")))))))))))</f>
        <v/>
      </c>
      <c r="M775" t="str">
        <f>IF(N775&lt;&gt;"W","",IF(TRIM(C775)&lt;&gt;"",TRIM(C775),IFERROR(LOOKUP(2,1/(N$9:N775="T"),D$9:D775),"")))</f>
        <v/>
      </c>
      <c r="N775" t="str">
        <f t="shared" si="35"/>
        <v/>
      </c>
      <c r="O775" t="str">
        <f>IF(M775="","",IF(COUNTIF(M$9:M775,M775)=1,MAX(O$8:O774)+1,""))</f>
        <v/>
      </c>
    </row>
    <row r="776" spans="1:15" x14ac:dyDescent="0.75">
      <c r="A776" s="24" t="str">
        <f>IF(N776="W",COUNTIF(N$9:N776,"W"),"")</f>
        <v/>
      </c>
      <c r="B776" s="25"/>
      <c r="C776" s="25"/>
      <c r="D776" s="26"/>
      <c r="E776" s="25"/>
      <c r="F776" s="27"/>
      <c r="G776" s="28"/>
      <c r="H776" s="28"/>
      <c r="I776" s="29" t="str">
        <f t="shared" si="33"/>
        <v/>
      </c>
      <c r="J776" s="30" t="str">
        <f t="shared" si="34"/>
        <v/>
      </c>
      <c r="K776" s="26"/>
      <c r="L776" s="24" t="str">
        <f>IF(N776="","",IF(N776="T","Título de capítulo",IF(OR(ISERROR(F776),ISERROR(G776),ISERROR(H776)),"Error en fórmula: pegá como valores",IF(AND(B776="",$C$6=""),"Falta sector",IF(M776="","Falta capítulo",IF(TRIM(E776)="","Falta unidad",IF(NOT((COUNTIF(Listas!$A$2:$A$40,E776)+COUNTIF(Listas!$D$2:$D$60,E776)&gt;0)),"Unidad no reconocida",IF(AND(F776&lt;&gt;"",NOT(ISNUMBER(F776))),"Cantidad no es número",IF(N(F776)&lt;=0,"Falta cantidad",IF(OR(AND(G776&lt;&gt;"",NOT(ISNUMBER(G776))),AND(H776&lt;&gt;"",NOT(ISNUMBER(H776)))),"Precio no es número",IF(N(G776)+N(H776)&lt;=0,"Falta precio","✓ OK")))))))))))</f>
        <v/>
      </c>
      <c r="M776" t="str">
        <f>IF(N776&lt;&gt;"W","",IF(TRIM(C776)&lt;&gt;"",TRIM(C776),IFERROR(LOOKUP(2,1/(N$9:N776="T"),D$9:D776),"")))</f>
        <v/>
      </c>
      <c r="N776" t="str">
        <f t="shared" si="35"/>
        <v/>
      </c>
      <c r="O776" t="str">
        <f>IF(M776="","",IF(COUNTIF(M$9:M776,M776)=1,MAX(O$8:O775)+1,""))</f>
        <v/>
      </c>
    </row>
    <row r="777" spans="1:15" x14ac:dyDescent="0.75">
      <c r="A777" s="24" t="str">
        <f>IF(N777="W",COUNTIF(N$9:N777,"W"),"")</f>
        <v/>
      </c>
      <c r="B777" s="25"/>
      <c r="C777" s="25"/>
      <c r="D777" s="26"/>
      <c r="E777" s="25"/>
      <c r="F777" s="27"/>
      <c r="G777" s="28"/>
      <c r="H777" s="28"/>
      <c r="I777" s="29" t="str">
        <f t="shared" ref="I777:I840" si="36">IF(N777="W",IFERROR(N(G777)+N(H777),0),"")</f>
        <v/>
      </c>
      <c r="J777" s="30" t="str">
        <f t="shared" ref="J777:J840" si="37">IF(N777="W",IFERROR(N(F777)*I777,0),"")</f>
        <v/>
      </c>
      <c r="K777" s="26"/>
      <c r="L777" s="24" t="str">
        <f>IF(N777="","",IF(N777="T","Título de capítulo",IF(OR(ISERROR(F777),ISERROR(G777),ISERROR(H777)),"Error en fórmula: pegá como valores",IF(AND(B777="",$C$6=""),"Falta sector",IF(M777="","Falta capítulo",IF(TRIM(E777)="","Falta unidad",IF(NOT((COUNTIF(Listas!$A$2:$A$40,E777)+COUNTIF(Listas!$D$2:$D$60,E777)&gt;0)),"Unidad no reconocida",IF(AND(F777&lt;&gt;"",NOT(ISNUMBER(F777))),"Cantidad no es número",IF(N(F777)&lt;=0,"Falta cantidad",IF(OR(AND(G777&lt;&gt;"",NOT(ISNUMBER(G777))),AND(H777&lt;&gt;"",NOT(ISNUMBER(H777)))),"Precio no es número",IF(N(G777)+N(H777)&lt;=0,"Falta precio","✓ OK")))))))))))</f>
        <v/>
      </c>
      <c r="M777" t="str">
        <f>IF(N777&lt;&gt;"W","",IF(TRIM(C777)&lt;&gt;"",TRIM(C777),IFERROR(LOOKUP(2,1/(N$9:N777="T"),D$9:D777),"")))</f>
        <v/>
      </c>
      <c r="N777" t="str">
        <f t="shared" ref="N777:N840" si="38">IF(TRIM(D777)="","",IF(AND(TRIM(E777)="",IFERROR(N(F777),1)=0,IFERROR(N(G777)+N(H777),1)=0),"T","W"))</f>
        <v/>
      </c>
      <c r="O777" t="str">
        <f>IF(M777="","",IF(COUNTIF(M$9:M777,M777)=1,MAX(O$8:O776)+1,""))</f>
        <v/>
      </c>
    </row>
    <row r="778" spans="1:15" x14ac:dyDescent="0.75">
      <c r="A778" s="24" t="str">
        <f>IF(N778="W",COUNTIF(N$9:N778,"W"),"")</f>
        <v/>
      </c>
      <c r="B778" s="25"/>
      <c r="C778" s="25"/>
      <c r="D778" s="26"/>
      <c r="E778" s="25"/>
      <c r="F778" s="27"/>
      <c r="G778" s="28"/>
      <c r="H778" s="28"/>
      <c r="I778" s="29" t="str">
        <f t="shared" si="36"/>
        <v/>
      </c>
      <c r="J778" s="30" t="str">
        <f t="shared" si="37"/>
        <v/>
      </c>
      <c r="K778" s="26"/>
      <c r="L778" s="24" t="str">
        <f>IF(N778="","",IF(N778="T","Título de capítulo",IF(OR(ISERROR(F778),ISERROR(G778),ISERROR(H778)),"Error en fórmula: pegá como valores",IF(AND(B778="",$C$6=""),"Falta sector",IF(M778="","Falta capítulo",IF(TRIM(E778)="","Falta unidad",IF(NOT((COUNTIF(Listas!$A$2:$A$40,E778)+COUNTIF(Listas!$D$2:$D$60,E778)&gt;0)),"Unidad no reconocida",IF(AND(F778&lt;&gt;"",NOT(ISNUMBER(F778))),"Cantidad no es número",IF(N(F778)&lt;=0,"Falta cantidad",IF(OR(AND(G778&lt;&gt;"",NOT(ISNUMBER(G778))),AND(H778&lt;&gt;"",NOT(ISNUMBER(H778)))),"Precio no es número",IF(N(G778)+N(H778)&lt;=0,"Falta precio","✓ OK")))))))))))</f>
        <v/>
      </c>
      <c r="M778" t="str">
        <f>IF(N778&lt;&gt;"W","",IF(TRIM(C778)&lt;&gt;"",TRIM(C778),IFERROR(LOOKUP(2,1/(N$9:N778="T"),D$9:D778),"")))</f>
        <v/>
      </c>
      <c r="N778" t="str">
        <f t="shared" si="38"/>
        <v/>
      </c>
      <c r="O778" t="str">
        <f>IF(M778="","",IF(COUNTIF(M$9:M778,M778)=1,MAX(O$8:O777)+1,""))</f>
        <v/>
      </c>
    </row>
    <row r="779" spans="1:15" x14ac:dyDescent="0.75">
      <c r="A779" s="24" t="str">
        <f>IF(N779="W",COUNTIF(N$9:N779,"W"),"")</f>
        <v/>
      </c>
      <c r="B779" s="25"/>
      <c r="C779" s="25"/>
      <c r="D779" s="26"/>
      <c r="E779" s="25"/>
      <c r="F779" s="27"/>
      <c r="G779" s="28"/>
      <c r="H779" s="28"/>
      <c r="I779" s="29" t="str">
        <f t="shared" si="36"/>
        <v/>
      </c>
      <c r="J779" s="30" t="str">
        <f t="shared" si="37"/>
        <v/>
      </c>
      <c r="K779" s="26"/>
      <c r="L779" s="24" t="str">
        <f>IF(N779="","",IF(N779="T","Título de capítulo",IF(OR(ISERROR(F779),ISERROR(G779),ISERROR(H779)),"Error en fórmula: pegá como valores",IF(AND(B779="",$C$6=""),"Falta sector",IF(M779="","Falta capítulo",IF(TRIM(E779)="","Falta unidad",IF(NOT((COUNTIF(Listas!$A$2:$A$40,E779)+COUNTIF(Listas!$D$2:$D$60,E779)&gt;0)),"Unidad no reconocida",IF(AND(F779&lt;&gt;"",NOT(ISNUMBER(F779))),"Cantidad no es número",IF(N(F779)&lt;=0,"Falta cantidad",IF(OR(AND(G779&lt;&gt;"",NOT(ISNUMBER(G779))),AND(H779&lt;&gt;"",NOT(ISNUMBER(H779)))),"Precio no es número",IF(N(G779)+N(H779)&lt;=0,"Falta precio","✓ OK")))))))))))</f>
        <v/>
      </c>
      <c r="M779" t="str">
        <f>IF(N779&lt;&gt;"W","",IF(TRIM(C779)&lt;&gt;"",TRIM(C779),IFERROR(LOOKUP(2,1/(N$9:N779="T"),D$9:D779),"")))</f>
        <v/>
      </c>
      <c r="N779" t="str">
        <f t="shared" si="38"/>
        <v/>
      </c>
      <c r="O779" t="str">
        <f>IF(M779="","",IF(COUNTIF(M$9:M779,M779)=1,MAX(O$8:O778)+1,""))</f>
        <v/>
      </c>
    </row>
    <row r="780" spans="1:15" x14ac:dyDescent="0.75">
      <c r="A780" s="24" t="str">
        <f>IF(N780="W",COUNTIF(N$9:N780,"W"),"")</f>
        <v/>
      </c>
      <c r="B780" s="25"/>
      <c r="C780" s="25"/>
      <c r="D780" s="26"/>
      <c r="E780" s="25"/>
      <c r="F780" s="27"/>
      <c r="G780" s="28"/>
      <c r="H780" s="28"/>
      <c r="I780" s="29" t="str">
        <f t="shared" si="36"/>
        <v/>
      </c>
      <c r="J780" s="30" t="str">
        <f t="shared" si="37"/>
        <v/>
      </c>
      <c r="K780" s="26"/>
      <c r="L780" s="24" t="str">
        <f>IF(N780="","",IF(N780="T","Título de capítulo",IF(OR(ISERROR(F780),ISERROR(G780),ISERROR(H780)),"Error en fórmula: pegá como valores",IF(AND(B780="",$C$6=""),"Falta sector",IF(M780="","Falta capítulo",IF(TRIM(E780)="","Falta unidad",IF(NOT((COUNTIF(Listas!$A$2:$A$40,E780)+COUNTIF(Listas!$D$2:$D$60,E780)&gt;0)),"Unidad no reconocida",IF(AND(F780&lt;&gt;"",NOT(ISNUMBER(F780))),"Cantidad no es número",IF(N(F780)&lt;=0,"Falta cantidad",IF(OR(AND(G780&lt;&gt;"",NOT(ISNUMBER(G780))),AND(H780&lt;&gt;"",NOT(ISNUMBER(H780)))),"Precio no es número",IF(N(G780)+N(H780)&lt;=0,"Falta precio","✓ OK")))))))))))</f>
        <v/>
      </c>
      <c r="M780" t="str">
        <f>IF(N780&lt;&gt;"W","",IF(TRIM(C780)&lt;&gt;"",TRIM(C780),IFERROR(LOOKUP(2,1/(N$9:N780="T"),D$9:D780),"")))</f>
        <v/>
      </c>
      <c r="N780" t="str">
        <f t="shared" si="38"/>
        <v/>
      </c>
      <c r="O780" t="str">
        <f>IF(M780="","",IF(COUNTIF(M$9:M780,M780)=1,MAX(O$8:O779)+1,""))</f>
        <v/>
      </c>
    </row>
    <row r="781" spans="1:15" x14ac:dyDescent="0.75">
      <c r="A781" s="24" t="str">
        <f>IF(N781="W",COUNTIF(N$9:N781,"W"),"")</f>
        <v/>
      </c>
      <c r="B781" s="25"/>
      <c r="C781" s="25"/>
      <c r="D781" s="26"/>
      <c r="E781" s="25"/>
      <c r="F781" s="27"/>
      <c r="G781" s="28"/>
      <c r="H781" s="28"/>
      <c r="I781" s="29" t="str">
        <f t="shared" si="36"/>
        <v/>
      </c>
      <c r="J781" s="30" t="str">
        <f t="shared" si="37"/>
        <v/>
      </c>
      <c r="K781" s="26"/>
      <c r="L781" s="24" t="str">
        <f>IF(N781="","",IF(N781="T","Título de capítulo",IF(OR(ISERROR(F781),ISERROR(G781),ISERROR(H781)),"Error en fórmula: pegá como valores",IF(AND(B781="",$C$6=""),"Falta sector",IF(M781="","Falta capítulo",IF(TRIM(E781)="","Falta unidad",IF(NOT((COUNTIF(Listas!$A$2:$A$40,E781)+COUNTIF(Listas!$D$2:$D$60,E781)&gt;0)),"Unidad no reconocida",IF(AND(F781&lt;&gt;"",NOT(ISNUMBER(F781))),"Cantidad no es número",IF(N(F781)&lt;=0,"Falta cantidad",IF(OR(AND(G781&lt;&gt;"",NOT(ISNUMBER(G781))),AND(H781&lt;&gt;"",NOT(ISNUMBER(H781)))),"Precio no es número",IF(N(G781)+N(H781)&lt;=0,"Falta precio","✓ OK")))))))))))</f>
        <v/>
      </c>
      <c r="M781" t="str">
        <f>IF(N781&lt;&gt;"W","",IF(TRIM(C781)&lt;&gt;"",TRIM(C781),IFERROR(LOOKUP(2,1/(N$9:N781="T"),D$9:D781),"")))</f>
        <v/>
      </c>
      <c r="N781" t="str">
        <f t="shared" si="38"/>
        <v/>
      </c>
      <c r="O781" t="str">
        <f>IF(M781="","",IF(COUNTIF(M$9:M781,M781)=1,MAX(O$8:O780)+1,""))</f>
        <v/>
      </c>
    </row>
    <row r="782" spans="1:15" x14ac:dyDescent="0.75">
      <c r="A782" s="24" t="str">
        <f>IF(N782="W",COUNTIF(N$9:N782,"W"),"")</f>
        <v/>
      </c>
      <c r="B782" s="25"/>
      <c r="C782" s="25"/>
      <c r="D782" s="26"/>
      <c r="E782" s="25"/>
      <c r="F782" s="27"/>
      <c r="G782" s="28"/>
      <c r="H782" s="28"/>
      <c r="I782" s="29" t="str">
        <f t="shared" si="36"/>
        <v/>
      </c>
      <c r="J782" s="30" t="str">
        <f t="shared" si="37"/>
        <v/>
      </c>
      <c r="K782" s="26"/>
      <c r="L782" s="24" t="str">
        <f>IF(N782="","",IF(N782="T","Título de capítulo",IF(OR(ISERROR(F782),ISERROR(G782),ISERROR(H782)),"Error en fórmula: pegá como valores",IF(AND(B782="",$C$6=""),"Falta sector",IF(M782="","Falta capítulo",IF(TRIM(E782)="","Falta unidad",IF(NOT((COUNTIF(Listas!$A$2:$A$40,E782)+COUNTIF(Listas!$D$2:$D$60,E782)&gt;0)),"Unidad no reconocida",IF(AND(F782&lt;&gt;"",NOT(ISNUMBER(F782))),"Cantidad no es número",IF(N(F782)&lt;=0,"Falta cantidad",IF(OR(AND(G782&lt;&gt;"",NOT(ISNUMBER(G782))),AND(H782&lt;&gt;"",NOT(ISNUMBER(H782)))),"Precio no es número",IF(N(G782)+N(H782)&lt;=0,"Falta precio","✓ OK")))))))))))</f>
        <v/>
      </c>
      <c r="M782" t="str">
        <f>IF(N782&lt;&gt;"W","",IF(TRIM(C782)&lt;&gt;"",TRIM(C782),IFERROR(LOOKUP(2,1/(N$9:N782="T"),D$9:D782),"")))</f>
        <v/>
      </c>
      <c r="N782" t="str">
        <f t="shared" si="38"/>
        <v/>
      </c>
      <c r="O782" t="str">
        <f>IF(M782="","",IF(COUNTIF(M$9:M782,M782)=1,MAX(O$8:O781)+1,""))</f>
        <v/>
      </c>
    </row>
    <row r="783" spans="1:15" x14ac:dyDescent="0.75">
      <c r="A783" s="24" t="str">
        <f>IF(N783="W",COUNTIF(N$9:N783,"W"),"")</f>
        <v/>
      </c>
      <c r="B783" s="25"/>
      <c r="C783" s="25"/>
      <c r="D783" s="26"/>
      <c r="E783" s="25"/>
      <c r="F783" s="27"/>
      <c r="G783" s="28"/>
      <c r="H783" s="28"/>
      <c r="I783" s="29" t="str">
        <f t="shared" si="36"/>
        <v/>
      </c>
      <c r="J783" s="30" t="str">
        <f t="shared" si="37"/>
        <v/>
      </c>
      <c r="K783" s="26"/>
      <c r="L783" s="24" t="str">
        <f>IF(N783="","",IF(N783="T","Título de capítulo",IF(OR(ISERROR(F783),ISERROR(G783),ISERROR(H783)),"Error en fórmula: pegá como valores",IF(AND(B783="",$C$6=""),"Falta sector",IF(M783="","Falta capítulo",IF(TRIM(E783)="","Falta unidad",IF(NOT((COUNTIF(Listas!$A$2:$A$40,E783)+COUNTIF(Listas!$D$2:$D$60,E783)&gt;0)),"Unidad no reconocida",IF(AND(F783&lt;&gt;"",NOT(ISNUMBER(F783))),"Cantidad no es número",IF(N(F783)&lt;=0,"Falta cantidad",IF(OR(AND(G783&lt;&gt;"",NOT(ISNUMBER(G783))),AND(H783&lt;&gt;"",NOT(ISNUMBER(H783)))),"Precio no es número",IF(N(G783)+N(H783)&lt;=0,"Falta precio","✓ OK")))))))))))</f>
        <v/>
      </c>
      <c r="M783" t="str">
        <f>IF(N783&lt;&gt;"W","",IF(TRIM(C783)&lt;&gt;"",TRIM(C783),IFERROR(LOOKUP(2,1/(N$9:N783="T"),D$9:D783),"")))</f>
        <v/>
      </c>
      <c r="N783" t="str">
        <f t="shared" si="38"/>
        <v/>
      </c>
      <c r="O783" t="str">
        <f>IF(M783="","",IF(COUNTIF(M$9:M783,M783)=1,MAX(O$8:O782)+1,""))</f>
        <v/>
      </c>
    </row>
    <row r="784" spans="1:15" x14ac:dyDescent="0.75">
      <c r="A784" s="24" t="str">
        <f>IF(N784="W",COUNTIF(N$9:N784,"W"),"")</f>
        <v/>
      </c>
      <c r="B784" s="25"/>
      <c r="C784" s="25"/>
      <c r="D784" s="26"/>
      <c r="E784" s="25"/>
      <c r="F784" s="27"/>
      <c r="G784" s="28"/>
      <c r="H784" s="28"/>
      <c r="I784" s="29" t="str">
        <f t="shared" si="36"/>
        <v/>
      </c>
      <c r="J784" s="30" t="str">
        <f t="shared" si="37"/>
        <v/>
      </c>
      <c r="K784" s="26"/>
      <c r="L784" s="24" t="str">
        <f>IF(N784="","",IF(N784="T","Título de capítulo",IF(OR(ISERROR(F784),ISERROR(G784),ISERROR(H784)),"Error en fórmula: pegá como valores",IF(AND(B784="",$C$6=""),"Falta sector",IF(M784="","Falta capítulo",IF(TRIM(E784)="","Falta unidad",IF(NOT((COUNTIF(Listas!$A$2:$A$40,E784)+COUNTIF(Listas!$D$2:$D$60,E784)&gt;0)),"Unidad no reconocida",IF(AND(F784&lt;&gt;"",NOT(ISNUMBER(F784))),"Cantidad no es número",IF(N(F784)&lt;=0,"Falta cantidad",IF(OR(AND(G784&lt;&gt;"",NOT(ISNUMBER(G784))),AND(H784&lt;&gt;"",NOT(ISNUMBER(H784)))),"Precio no es número",IF(N(G784)+N(H784)&lt;=0,"Falta precio","✓ OK")))))))))))</f>
        <v/>
      </c>
      <c r="M784" t="str">
        <f>IF(N784&lt;&gt;"W","",IF(TRIM(C784)&lt;&gt;"",TRIM(C784),IFERROR(LOOKUP(2,1/(N$9:N784="T"),D$9:D784),"")))</f>
        <v/>
      </c>
      <c r="N784" t="str">
        <f t="shared" si="38"/>
        <v/>
      </c>
      <c r="O784" t="str">
        <f>IF(M784="","",IF(COUNTIF(M$9:M784,M784)=1,MAX(O$8:O783)+1,""))</f>
        <v/>
      </c>
    </row>
    <row r="785" spans="1:15" x14ac:dyDescent="0.75">
      <c r="A785" s="24" t="str">
        <f>IF(N785="W",COUNTIF(N$9:N785,"W"),"")</f>
        <v/>
      </c>
      <c r="B785" s="25"/>
      <c r="C785" s="25"/>
      <c r="D785" s="26"/>
      <c r="E785" s="25"/>
      <c r="F785" s="27"/>
      <c r="G785" s="28"/>
      <c r="H785" s="28"/>
      <c r="I785" s="29" t="str">
        <f t="shared" si="36"/>
        <v/>
      </c>
      <c r="J785" s="30" t="str">
        <f t="shared" si="37"/>
        <v/>
      </c>
      <c r="K785" s="26"/>
      <c r="L785" s="24" t="str">
        <f>IF(N785="","",IF(N785="T","Título de capítulo",IF(OR(ISERROR(F785),ISERROR(G785),ISERROR(H785)),"Error en fórmula: pegá como valores",IF(AND(B785="",$C$6=""),"Falta sector",IF(M785="","Falta capítulo",IF(TRIM(E785)="","Falta unidad",IF(NOT((COUNTIF(Listas!$A$2:$A$40,E785)+COUNTIF(Listas!$D$2:$D$60,E785)&gt;0)),"Unidad no reconocida",IF(AND(F785&lt;&gt;"",NOT(ISNUMBER(F785))),"Cantidad no es número",IF(N(F785)&lt;=0,"Falta cantidad",IF(OR(AND(G785&lt;&gt;"",NOT(ISNUMBER(G785))),AND(H785&lt;&gt;"",NOT(ISNUMBER(H785)))),"Precio no es número",IF(N(G785)+N(H785)&lt;=0,"Falta precio","✓ OK")))))))))))</f>
        <v/>
      </c>
      <c r="M785" t="str">
        <f>IF(N785&lt;&gt;"W","",IF(TRIM(C785)&lt;&gt;"",TRIM(C785),IFERROR(LOOKUP(2,1/(N$9:N785="T"),D$9:D785),"")))</f>
        <v/>
      </c>
      <c r="N785" t="str">
        <f t="shared" si="38"/>
        <v/>
      </c>
      <c r="O785" t="str">
        <f>IF(M785="","",IF(COUNTIF(M$9:M785,M785)=1,MAX(O$8:O784)+1,""))</f>
        <v/>
      </c>
    </row>
    <row r="786" spans="1:15" x14ac:dyDescent="0.75">
      <c r="A786" s="24" t="str">
        <f>IF(N786="W",COUNTIF(N$9:N786,"W"),"")</f>
        <v/>
      </c>
      <c r="B786" s="25"/>
      <c r="C786" s="25"/>
      <c r="D786" s="26"/>
      <c r="E786" s="25"/>
      <c r="F786" s="27"/>
      <c r="G786" s="28"/>
      <c r="H786" s="28"/>
      <c r="I786" s="29" t="str">
        <f t="shared" si="36"/>
        <v/>
      </c>
      <c r="J786" s="30" t="str">
        <f t="shared" si="37"/>
        <v/>
      </c>
      <c r="K786" s="26"/>
      <c r="L786" s="24" t="str">
        <f>IF(N786="","",IF(N786="T","Título de capítulo",IF(OR(ISERROR(F786),ISERROR(G786),ISERROR(H786)),"Error en fórmula: pegá como valores",IF(AND(B786="",$C$6=""),"Falta sector",IF(M786="","Falta capítulo",IF(TRIM(E786)="","Falta unidad",IF(NOT((COUNTIF(Listas!$A$2:$A$40,E786)+COUNTIF(Listas!$D$2:$D$60,E786)&gt;0)),"Unidad no reconocida",IF(AND(F786&lt;&gt;"",NOT(ISNUMBER(F786))),"Cantidad no es número",IF(N(F786)&lt;=0,"Falta cantidad",IF(OR(AND(G786&lt;&gt;"",NOT(ISNUMBER(G786))),AND(H786&lt;&gt;"",NOT(ISNUMBER(H786)))),"Precio no es número",IF(N(G786)+N(H786)&lt;=0,"Falta precio","✓ OK")))))))))))</f>
        <v/>
      </c>
      <c r="M786" t="str">
        <f>IF(N786&lt;&gt;"W","",IF(TRIM(C786)&lt;&gt;"",TRIM(C786),IFERROR(LOOKUP(2,1/(N$9:N786="T"),D$9:D786),"")))</f>
        <v/>
      </c>
      <c r="N786" t="str">
        <f t="shared" si="38"/>
        <v/>
      </c>
      <c r="O786" t="str">
        <f>IF(M786="","",IF(COUNTIF(M$9:M786,M786)=1,MAX(O$8:O785)+1,""))</f>
        <v/>
      </c>
    </row>
    <row r="787" spans="1:15" x14ac:dyDescent="0.75">
      <c r="A787" s="24" t="str">
        <f>IF(N787="W",COUNTIF(N$9:N787,"W"),"")</f>
        <v/>
      </c>
      <c r="B787" s="25"/>
      <c r="C787" s="25"/>
      <c r="D787" s="26"/>
      <c r="E787" s="25"/>
      <c r="F787" s="27"/>
      <c r="G787" s="28"/>
      <c r="H787" s="28"/>
      <c r="I787" s="29" t="str">
        <f t="shared" si="36"/>
        <v/>
      </c>
      <c r="J787" s="30" t="str">
        <f t="shared" si="37"/>
        <v/>
      </c>
      <c r="K787" s="26"/>
      <c r="L787" s="24" t="str">
        <f>IF(N787="","",IF(N787="T","Título de capítulo",IF(OR(ISERROR(F787),ISERROR(G787),ISERROR(H787)),"Error en fórmula: pegá como valores",IF(AND(B787="",$C$6=""),"Falta sector",IF(M787="","Falta capítulo",IF(TRIM(E787)="","Falta unidad",IF(NOT((COUNTIF(Listas!$A$2:$A$40,E787)+COUNTIF(Listas!$D$2:$D$60,E787)&gt;0)),"Unidad no reconocida",IF(AND(F787&lt;&gt;"",NOT(ISNUMBER(F787))),"Cantidad no es número",IF(N(F787)&lt;=0,"Falta cantidad",IF(OR(AND(G787&lt;&gt;"",NOT(ISNUMBER(G787))),AND(H787&lt;&gt;"",NOT(ISNUMBER(H787)))),"Precio no es número",IF(N(G787)+N(H787)&lt;=0,"Falta precio","✓ OK")))))))))))</f>
        <v/>
      </c>
      <c r="M787" t="str">
        <f>IF(N787&lt;&gt;"W","",IF(TRIM(C787)&lt;&gt;"",TRIM(C787),IFERROR(LOOKUP(2,1/(N$9:N787="T"),D$9:D787),"")))</f>
        <v/>
      </c>
      <c r="N787" t="str">
        <f t="shared" si="38"/>
        <v/>
      </c>
      <c r="O787" t="str">
        <f>IF(M787="","",IF(COUNTIF(M$9:M787,M787)=1,MAX(O$8:O786)+1,""))</f>
        <v/>
      </c>
    </row>
    <row r="788" spans="1:15" x14ac:dyDescent="0.75">
      <c r="A788" s="24" t="str">
        <f>IF(N788="W",COUNTIF(N$9:N788,"W"),"")</f>
        <v/>
      </c>
      <c r="B788" s="25"/>
      <c r="C788" s="25"/>
      <c r="D788" s="26"/>
      <c r="E788" s="25"/>
      <c r="F788" s="27"/>
      <c r="G788" s="28"/>
      <c r="H788" s="28"/>
      <c r="I788" s="29" t="str">
        <f t="shared" si="36"/>
        <v/>
      </c>
      <c r="J788" s="30" t="str">
        <f t="shared" si="37"/>
        <v/>
      </c>
      <c r="K788" s="26"/>
      <c r="L788" s="24" t="str">
        <f>IF(N788="","",IF(N788="T","Título de capítulo",IF(OR(ISERROR(F788),ISERROR(G788),ISERROR(H788)),"Error en fórmula: pegá como valores",IF(AND(B788="",$C$6=""),"Falta sector",IF(M788="","Falta capítulo",IF(TRIM(E788)="","Falta unidad",IF(NOT((COUNTIF(Listas!$A$2:$A$40,E788)+COUNTIF(Listas!$D$2:$D$60,E788)&gt;0)),"Unidad no reconocida",IF(AND(F788&lt;&gt;"",NOT(ISNUMBER(F788))),"Cantidad no es número",IF(N(F788)&lt;=0,"Falta cantidad",IF(OR(AND(G788&lt;&gt;"",NOT(ISNUMBER(G788))),AND(H788&lt;&gt;"",NOT(ISNUMBER(H788)))),"Precio no es número",IF(N(G788)+N(H788)&lt;=0,"Falta precio","✓ OK")))))))))))</f>
        <v/>
      </c>
      <c r="M788" t="str">
        <f>IF(N788&lt;&gt;"W","",IF(TRIM(C788)&lt;&gt;"",TRIM(C788),IFERROR(LOOKUP(2,1/(N$9:N788="T"),D$9:D788),"")))</f>
        <v/>
      </c>
      <c r="N788" t="str">
        <f t="shared" si="38"/>
        <v/>
      </c>
      <c r="O788" t="str">
        <f>IF(M788="","",IF(COUNTIF(M$9:M788,M788)=1,MAX(O$8:O787)+1,""))</f>
        <v/>
      </c>
    </row>
    <row r="789" spans="1:15" x14ac:dyDescent="0.75">
      <c r="A789" s="24" t="str">
        <f>IF(N789="W",COUNTIF(N$9:N789,"W"),"")</f>
        <v/>
      </c>
      <c r="B789" s="25"/>
      <c r="C789" s="25"/>
      <c r="D789" s="26"/>
      <c r="E789" s="25"/>
      <c r="F789" s="27"/>
      <c r="G789" s="28"/>
      <c r="H789" s="28"/>
      <c r="I789" s="29" t="str">
        <f t="shared" si="36"/>
        <v/>
      </c>
      <c r="J789" s="30" t="str">
        <f t="shared" si="37"/>
        <v/>
      </c>
      <c r="K789" s="26"/>
      <c r="L789" s="24" t="str">
        <f>IF(N789="","",IF(N789="T","Título de capítulo",IF(OR(ISERROR(F789),ISERROR(G789),ISERROR(H789)),"Error en fórmula: pegá como valores",IF(AND(B789="",$C$6=""),"Falta sector",IF(M789="","Falta capítulo",IF(TRIM(E789)="","Falta unidad",IF(NOT((COUNTIF(Listas!$A$2:$A$40,E789)+COUNTIF(Listas!$D$2:$D$60,E789)&gt;0)),"Unidad no reconocida",IF(AND(F789&lt;&gt;"",NOT(ISNUMBER(F789))),"Cantidad no es número",IF(N(F789)&lt;=0,"Falta cantidad",IF(OR(AND(G789&lt;&gt;"",NOT(ISNUMBER(G789))),AND(H789&lt;&gt;"",NOT(ISNUMBER(H789)))),"Precio no es número",IF(N(G789)+N(H789)&lt;=0,"Falta precio","✓ OK")))))))))))</f>
        <v/>
      </c>
      <c r="M789" t="str">
        <f>IF(N789&lt;&gt;"W","",IF(TRIM(C789)&lt;&gt;"",TRIM(C789),IFERROR(LOOKUP(2,1/(N$9:N789="T"),D$9:D789),"")))</f>
        <v/>
      </c>
      <c r="N789" t="str">
        <f t="shared" si="38"/>
        <v/>
      </c>
      <c r="O789" t="str">
        <f>IF(M789="","",IF(COUNTIF(M$9:M789,M789)=1,MAX(O$8:O788)+1,""))</f>
        <v/>
      </c>
    </row>
    <row r="790" spans="1:15" x14ac:dyDescent="0.75">
      <c r="A790" s="24" t="str">
        <f>IF(N790="W",COUNTIF(N$9:N790,"W"),"")</f>
        <v/>
      </c>
      <c r="B790" s="25"/>
      <c r="C790" s="25"/>
      <c r="D790" s="26"/>
      <c r="E790" s="25"/>
      <c r="F790" s="27"/>
      <c r="G790" s="28"/>
      <c r="H790" s="28"/>
      <c r="I790" s="29" t="str">
        <f t="shared" si="36"/>
        <v/>
      </c>
      <c r="J790" s="30" t="str">
        <f t="shared" si="37"/>
        <v/>
      </c>
      <c r="K790" s="26"/>
      <c r="L790" s="24" t="str">
        <f>IF(N790="","",IF(N790="T","Título de capítulo",IF(OR(ISERROR(F790),ISERROR(G790),ISERROR(H790)),"Error en fórmula: pegá como valores",IF(AND(B790="",$C$6=""),"Falta sector",IF(M790="","Falta capítulo",IF(TRIM(E790)="","Falta unidad",IF(NOT((COUNTIF(Listas!$A$2:$A$40,E790)+COUNTIF(Listas!$D$2:$D$60,E790)&gt;0)),"Unidad no reconocida",IF(AND(F790&lt;&gt;"",NOT(ISNUMBER(F790))),"Cantidad no es número",IF(N(F790)&lt;=0,"Falta cantidad",IF(OR(AND(G790&lt;&gt;"",NOT(ISNUMBER(G790))),AND(H790&lt;&gt;"",NOT(ISNUMBER(H790)))),"Precio no es número",IF(N(G790)+N(H790)&lt;=0,"Falta precio","✓ OK")))))))))))</f>
        <v/>
      </c>
      <c r="M790" t="str">
        <f>IF(N790&lt;&gt;"W","",IF(TRIM(C790)&lt;&gt;"",TRIM(C790),IFERROR(LOOKUP(2,1/(N$9:N790="T"),D$9:D790),"")))</f>
        <v/>
      </c>
      <c r="N790" t="str">
        <f t="shared" si="38"/>
        <v/>
      </c>
      <c r="O790" t="str">
        <f>IF(M790="","",IF(COUNTIF(M$9:M790,M790)=1,MAX(O$8:O789)+1,""))</f>
        <v/>
      </c>
    </row>
    <row r="791" spans="1:15" x14ac:dyDescent="0.75">
      <c r="A791" s="24" t="str">
        <f>IF(N791="W",COUNTIF(N$9:N791,"W"),"")</f>
        <v/>
      </c>
      <c r="B791" s="25"/>
      <c r="C791" s="25"/>
      <c r="D791" s="26"/>
      <c r="E791" s="25"/>
      <c r="F791" s="27"/>
      <c r="G791" s="28"/>
      <c r="H791" s="28"/>
      <c r="I791" s="29" t="str">
        <f t="shared" si="36"/>
        <v/>
      </c>
      <c r="J791" s="30" t="str">
        <f t="shared" si="37"/>
        <v/>
      </c>
      <c r="K791" s="26"/>
      <c r="L791" s="24" t="str">
        <f>IF(N791="","",IF(N791="T","Título de capítulo",IF(OR(ISERROR(F791),ISERROR(G791),ISERROR(H791)),"Error en fórmula: pegá como valores",IF(AND(B791="",$C$6=""),"Falta sector",IF(M791="","Falta capítulo",IF(TRIM(E791)="","Falta unidad",IF(NOT((COUNTIF(Listas!$A$2:$A$40,E791)+COUNTIF(Listas!$D$2:$D$60,E791)&gt;0)),"Unidad no reconocida",IF(AND(F791&lt;&gt;"",NOT(ISNUMBER(F791))),"Cantidad no es número",IF(N(F791)&lt;=0,"Falta cantidad",IF(OR(AND(G791&lt;&gt;"",NOT(ISNUMBER(G791))),AND(H791&lt;&gt;"",NOT(ISNUMBER(H791)))),"Precio no es número",IF(N(G791)+N(H791)&lt;=0,"Falta precio","✓ OK")))))))))))</f>
        <v/>
      </c>
      <c r="M791" t="str">
        <f>IF(N791&lt;&gt;"W","",IF(TRIM(C791)&lt;&gt;"",TRIM(C791),IFERROR(LOOKUP(2,1/(N$9:N791="T"),D$9:D791),"")))</f>
        <v/>
      </c>
      <c r="N791" t="str">
        <f t="shared" si="38"/>
        <v/>
      </c>
      <c r="O791" t="str">
        <f>IF(M791="","",IF(COUNTIF(M$9:M791,M791)=1,MAX(O$8:O790)+1,""))</f>
        <v/>
      </c>
    </row>
    <row r="792" spans="1:15" x14ac:dyDescent="0.75">
      <c r="A792" s="24" t="str">
        <f>IF(N792="W",COUNTIF(N$9:N792,"W"),"")</f>
        <v/>
      </c>
      <c r="B792" s="25"/>
      <c r="C792" s="25"/>
      <c r="D792" s="26"/>
      <c r="E792" s="25"/>
      <c r="F792" s="27"/>
      <c r="G792" s="28"/>
      <c r="H792" s="28"/>
      <c r="I792" s="29" t="str">
        <f t="shared" si="36"/>
        <v/>
      </c>
      <c r="J792" s="30" t="str">
        <f t="shared" si="37"/>
        <v/>
      </c>
      <c r="K792" s="26"/>
      <c r="L792" s="24" t="str">
        <f>IF(N792="","",IF(N792="T","Título de capítulo",IF(OR(ISERROR(F792),ISERROR(G792),ISERROR(H792)),"Error en fórmula: pegá como valores",IF(AND(B792="",$C$6=""),"Falta sector",IF(M792="","Falta capítulo",IF(TRIM(E792)="","Falta unidad",IF(NOT((COUNTIF(Listas!$A$2:$A$40,E792)+COUNTIF(Listas!$D$2:$D$60,E792)&gt;0)),"Unidad no reconocida",IF(AND(F792&lt;&gt;"",NOT(ISNUMBER(F792))),"Cantidad no es número",IF(N(F792)&lt;=0,"Falta cantidad",IF(OR(AND(G792&lt;&gt;"",NOT(ISNUMBER(G792))),AND(H792&lt;&gt;"",NOT(ISNUMBER(H792)))),"Precio no es número",IF(N(G792)+N(H792)&lt;=0,"Falta precio","✓ OK")))))))))))</f>
        <v/>
      </c>
      <c r="M792" t="str">
        <f>IF(N792&lt;&gt;"W","",IF(TRIM(C792)&lt;&gt;"",TRIM(C792),IFERROR(LOOKUP(2,1/(N$9:N792="T"),D$9:D792),"")))</f>
        <v/>
      </c>
      <c r="N792" t="str">
        <f t="shared" si="38"/>
        <v/>
      </c>
      <c r="O792" t="str">
        <f>IF(M792="","",IF(COUNTIF(M$9:M792,M792)=1,MAX(O$8:O791)+1,""))</f>
        <v/>
      </c>
    </row>
    <row r="793" spans="1:15" x14ac:dyDescent="0.75">
      <c r="A793" s="24" t="str">
        <f>IF(N793="W",COUNTIF(N$9:N793,"W"),"")</f>
        <v/>
      </c>
      <c r="B793" s="25"/>
      <c r="C793" s="25"/>
      <c r="D793" s="26"/>
      <c r="E793" s="25"/>
      <c r="F793" s="27"/>
      <c r="G793" s="28"/>
      <c r="H793" s="28"/>
      <c r="I793" s="29" t="str">
        <f t="shared" si="36"/>
        <v/>
      </c>
      <c r="J793" s="30" t="str">
        <f t="shared" si="37"/>
        <v/>
      </c>
      <c r="K793" s="26"/>
      <c r="L793" s="24" t="str">
        <f>IF(N793="","",IF(N793="T","Título de capítulo",IF(OR(ISERROR(F793),ISERROR(G793),ISERROR(H793)),"Error en fórmula: pegá como valores",IF(AND(B793="",$C$6=""),"Falta sector",IF(M793="","Falta capítulo",IF(TRIM(E793)="","Falta unidad",IF(NOT((COUNTIF(Listas!$A$2:$A$40,E793)+COUNTIF(Listas!$D$2:$D$60,E793)&gt;0)),"Unidad no reconocida",IF(AND(F793&lt;&gt;"",NOT(ISNUMBER(F793))),"Cantidad no es número",IF(N(F793)&lt;=0,"Falta cantidad",IF(OR(AND(G793&lt;&gt;"",NOT(ISNUMBER(G793))),AND(H793&lt;&gt;"",NOT(ISNUMBER(H793)))),"Precio no es número",IF(N(G793)+N(H793)&lt;=0,"Falta precio","✓ OK")))))))))))</f>
        <v/>
      </c>
      <c r="M793" t="str">
        <f>IF(N793&lt;&gt;"W","",IF(TRIM(C793)&lt;&gt;"",TRIM(C793),IFERROR(LOOKUP(2,1/(N$9:N793="T"),D$9:D793),"")))</f>
        <v/>
      </c>
      <c r="N793" t="str">
        <f t="shared" si="38"/>
        <v/>
      </c>
      <c r="O793" t="str">
        <f>IF(M793="","",IF(COUNTIF(M$9:M793,M793)=1,MAX(O$8:O792)+1,""))</f>
        <v/>
      </c>
    </row>
    <row r="794" spans="1:15" x14ac:dyDescent="0.75">
      <c r="A794" s="24" t="str">
        <f>IF(N794="W",COUNTIF(N$9:N794,"W"),"")</f>
        <v/>
      </c>
      <c r="B794" s="25"/>
      <c r="C794" s="25"/>
      <c r="D794" s="26"/>
      <c r="E794" s="25"/>
      <c r="F794" s="27"/>
      <c r="G794" s="28"/>
      <c r="H794" s="28"/>
      <c r="I794" s="29" t="str">
        <f t="shared" si="36"/>
        <v/>
      </c>
      <c r="J794" s="30" t="str">
        <f t="shared" si="37"/>
        <v/>
      </c>
      <c r="K794" s="26"/>
      <c r="L794" s="24" t="str">
        <f>IF(N794="","",IF(N794="T","Título de capítulo",IF(OR(ISERROR(F794),ISERROR(G794),ISERROR(H794)),"Error en fórmula: pegá como valores",IF(AND(B794="",$C$6=""),"Falta sector",IF(M794="","Falta capítulo",IF(TRIM(E794)="","Falta unidad",IF(NOT((COUNTIF(Listas!$A$2:$A$40,E794)+COUNTIF(Listas!$D$2:$D$60,E794)&gt;0)),"Unidad no reconocida",IF(AND(F794&lt;&gt;"",NOT(ISNUMBER(F794))),"Cantidad no es número",IF(N(F794)&lt;=0,"Falta cantidad",IF(OR(AND(G794&lt;&gt;"",NOT(ISNUMBER(G794))),AND(H794&lt;&gt;"",NOT(ISNUMBER(H794)))),"Precio no es número",IF(N(G794)+N(H794)&lt;=0,"Falta precio","✓ OK")))))))))))</f>
        <v/>
      </c>
      <c r="M794" t="str">
        <f>IF(N794&lt;&gt;"W","",IF(TRIM(C794)&lt;&gt;"",TRIM(C794),IFERROR(LOOKUP(2,1/(N$9:N794="T"),D$9:D794),"")))</f>
        <v/>
      </c>
      <c r="N794" t="str">
        <f t="shared" si="38"/>
        <v/>
      </c>
      <c r="O794" t="str">
        <f>IF(M794="","",IF(COUNTIF(M$9:M794,M794)=1,MAX(O$8:O793)+1,""))</f>
        <v/>
      </c>
    </row>
    <row r="795" spans="1:15" x14ac:dyDescent="0.75">
      <c r="A795" s="24" t="str">
        <f>IF(N795="W",COUNTIF(N$9:N795,"W"),"")</f>
        <v/>
      </c>
      <c r="B795" s="25"/>
      <c r="C795" s="25"/>
      <c r="D795" s="26"/>
      <c r="E795" s="25"/>
      <c r="F795" s="27"/>
      <c r="G795" s="28"/>
      <c r="H795" s="28"/>
      <c r="I795" s="29" t="str">
        <f t="shared" si="36"/>
        <v/>
      </c>
      <c r="J795" s="30" t="str">
        <f t="shared" si="37"/>
        <v/>
      </c>
      <c r="K795" s="26"/>
      <c r="L795" s="24" t="str">
        <f>IF(N795="","",IF(N795="T","Título de capítulo",IF(OR(ISERROR(F795),ISERROR(G795),ISERROR(H795)),"Error en fórmula: pegá como valores",IF(AND(B795="",$C$6=""),"Falta sector",IF(M795="","Falta capítulo",IF(TRIM(E795)="","Falta unidad",IF(NOT((COUNTIF(Listas!$A$2:$A$40,E795)+COUNTIF(Listas!$D$2:$D$60,E795)&gt;0)),"Unidad no reconocida",IF(AND(F795&lt;&gt;"",NOT(ISNUMBER(F795))),"Cantidad no es número",IF(N(F795)&lt;=0,"Falta cantidad",IF(OR(AND(G795&lt;&gt;"",NOT(ISNUMBER(G795))),AND(H795&lt;&gt;"",NOT(ISNUMBER(H795)))),"Precio no es número",IF(N(G795)+N(H795)&lt;=0,"Falta precio","✓ OK")))))))))))</f>
        <v/>
      </c>
      <c r="M795" t="str">
        <f>IF(N795&lt;&gt;"W","",IF(TRIM(C795)&lt;&gt;"",TRIM(C795),IFERROR(LOOKUP(2,1/(N$9:N795="T"),D$9:D795),"")))</f>
        <v/>
      </c>
      <c r="N795" t="str">
        <f t="shared" si="38"/>
        <v/>
      </c>
      <c r="O795" t="str">
        <f>IF(M795="","",IF(COUNTIF(M$9:M795,M795)=1,MAX(O$8:O794)+1,""))</f>
        <v/>
      </c>
    </row>
    <row r="796" spans="1:15" x14ac:dyDescent="0.75">
      <c r="A796" s="24" t="str">
        <f>IF(N796="W",COUNTIF(N$9:N796,"W"),"")</f>
        <v/>
      </c>
      <c r="B796" s="25"/>
      <c r="C796" s="25"/>
      <c r="D796" s="26"/>
      <c r="E796" s="25"/>
      <c r="F796" s="27"/>
      <c r="G796" s="28"/>
      <c r="H796" s="28"/>
      <c r="I796" s="29" t="str">
        <f t="shared" si="36"/>
        <v/>
      </c>
      <c r="J796" s="30" t="str">
        <f t="shared" si="37"/>
        <v/>
      </c>
      <c r="K796" s="26"/>
      <c r="L796" s="24" t="str">
        <f>IF(N796="","",IF(N796="T","Título de capítulo",IF(OR(ISERROR(F796),ISERROR(G796),ISERROR(H796)),"Error en fórmula: pegá como valores",IF(AND(B796="",$C$6=""),"Falta sector",IF(M796="","Falta capítulo",IF(TRIM(E796)="","Falta unidad",IF(NOT((COUNTIF(Listas!$A$2:$A$40,E796)+COUNTIF(Listas!$D$2:$D$60,E796)&gt;0)),"Unidad no reconocida",IF(AND(F796&lt;&gt;"",NOT(ISNUMBER(F796))),"Cantidad no es número",IF(N(F796)&lt;=0,"Falta cantidad",IF(OR(AND(G796&lt;&gt;"",NOT(ISNUMBER(G796))),AND(H796&lt;&gt;"",NOT(ISNUMBER(H796)))),"Precio no es número",IF(N(G796)+N(H796)&lt;=0,"Falta precio","✓ OK")))))))))))</f>
        <v/>
      </c>
      <c r="M796" t="str">
        <f>IF(N796&lt;&gt;"W","",IF(TRIM(C796)&lt;&gt;"",TRIM(C796),IFERROR(LOOKUP(2,1/(N$9:N796="T"),D$9:D796),"")))</f>
        <v/>
      </c>
      <c r="N796" t="str">
        <f t="shared" si="38"/>
        <v/>
      </c>
      <c r="O796" t="str">
        <f>IF(M796="","",IF(COUNTIF(M$9:M796,M796)=1,MAX(O$8:O795)+1,""))</f>
        <v/>
      </c>
    </row>
    <row r="797" spans="1:15" x14ac:dyDescent="0.75">
      <c r="A797" s="24" t="str">
        <f>IF(N797="W",COUNTIF(N$9:N797,"W"),"")</f>
        <v/>
      </c>
      <c r="B797" s="25"/>
      <c r="C797" s="25"/>
      <c r="D797" s="26"/>
      <c r="E797" s="25"/>
      <c r="F797" s="27"/>
      <c r="G797" s="28"/>
      <c r="H797" s="28"/>
      <c r="I797" s="29" t="str">
        <f t="shared" si="36"/>
        <v/>
      </c>
      <c r="J797" s="30" t="str">
        <f t="shared" si="37"/>
        <v/>
      </c>
      <c r="K797" s="26"/>
      <c r="L797" s="24" t="str">
        <f>IF(N797="","",IF(N797="T","Título de capítulo",IF(OR(ISERROR(F797),ISERROR(G797),ISERROR(H797)),"Error en fórmula: pegá como valores",IF(AND(B797="",$C$6=""),"Falta sector",IF(M797="","Falta capítulo",IF(TRIM(E797)="","Falta unidad",IF(NOT((COUNTIF(Listas!$A$2:$A$40,E797)+COUNTIF(Listas!$D$2:$D$60,E797)&gt;0)),"Unidad no reconocida",IF(AND(F797&lt;&gt;"",NOT(ISNUMBER(F797))),"Cantidad no es número",IF(N(F797)&lt;=0,"Falta cantidad",IF(OR(AND(G797&lt;&gt;"",NOT(ISNUMBER(G797))),AND(H797&lt;&gt;"",NOT(ISNUMBER(H797)))),"Precio no es número",IF(N(G797)+N(H797)&lt;=0,"Falta precio","✓ OK")))))))))))</f>
        <v/>
      </c>
      <c r="M797" t="str">
        <f>IF(N797&lt;&gt;"W","",IF(TRIM(C797)&lt;&gt;"",TRIM(C797),IFERROR(LOOKUP(2,1/(N$9:N797="T"),D$9:D797),"")))</f>
        <v/>
      </c>
      <c r="N797" t="str">
        <f t="shared" si="38"/>
        <v/>
      </c>
      <c r="O797" t="str">
        <f>IF(M797="","",IF(COUNTIF(M$9:M797,M797)=1,MAX(O$8:O796)+1,""))</f>
        <v/>
      </c>
    </row>
    <row r="798" spans="1:15" x14ac:dyDescent="0.75">
      <c r="A798" s="24" t="str">
        <f>IF(N798="W",COUNTIF(N$9:N798,"W"),"")</f>
        <v/>
      </c>
      <c r="B798" s="25"/>
      <c r="C798" s="25"/>
      <c r="D798" s="26"/>
      <c r="E798" s="25"/>
      <c r="F798" s="27"/>
      <c r="G798" s="28"/>
      <c r="H798" s="28"/>
      <c r="I798" s="29" t="str">
        <f t="shared" si="36"/>
        <v/>
      </c>
      <c r="J798" s="30" t="str">
        <f t="shared" si="37"/>
        <v/>
      </c>
      <c r="K798" s="26"/>
      <c r="L798" s="24" t="str">
        <f>IF(N798="","",IF(N798="T","Título de capítulo",IF(OR(ISERROR(F798),ISERROR(G798),ISERROR(H798)),"Error en fórmula: pegá como valores",IF(AND(B798="",$C$6=""),"Falta sector",IF(M798="","Falta capítulo",IF(TRIM(E798)="","Falta unidad",IF(NOT((COUNTIF(Listas!$A$2:$A$40,E798)+COUNTIF(Listas!$D$2:$D$60,E798)&gt;0)),"Unidad no reconocida",IF(AND(F798&lt;&gt;"",NOT(ISNUMBER(F798))),"Cantidad no es número",IF(N(F798)&lt;=0,"Falta cantidad",IF(OR(AND(G798&lt;&gt;"",NOT(ISNUMBER(G798))),AND(H798&lt;&gt;"",NOT(ISNUMBER(H798)))),"Precio no es número",IF(N(G798)+N(H798)&lt;=0,"Falta precio","✓ OK")))))))))))</f>
        <v/>
      </c>
      <c r="M798" t="str">
        <f>IF(N798&lt;&gt;"W","",IF(TRIM(C798)&lt;&gt;"",TRIM(C798),IFERROR(LOOKUP(2,1/(N$9:N798="T"),D$9:D798),"")))</f>
        <v/>
      </c>
      <c r="N798" t="str">
        <f t="shared" si="38"/>
        <v/>
      </c>
      <c r="O798" t="str">
        <f>IF(M798="","",IF(COUNTIF(M$9:M798,M798)=1,MAX(O$8:O797)+1,""))</f>
        <v/>
      </c>
    </row>
    <row r="799" spans="1:15" x14ac:dyDescent="0.75">
      <c r="A799" s="24" t="str">
        <f>IF(N799="W",COUNTIF(N$9:N799,"W"),"")</f>
        <v/>
      </c>
      <c r="B799" s="25"/>
      <c r="C799" s="25"/>
      <c r="D799" s="26"/>
      <c r="E799" s="25"/>
      <c r="F799" s="27"/>
      <c r="G799" s="28"/>
      <c r="H799" s="28"/>
      <c r="I799" s="29" t="str">
        <f t="shared" si="36"/>
        <v/>
      </c>
      <c r="J799" s="30" t="str">
        <f t="shared" si="37"/>
        <v/>
      </c>
      <c r="K799" s="26"/>
      <c r="L799" s="24" t="str">
        <f>IF(N799="","",IF(N799="T","Título de capítulo",IF(OR(ISERROR(F799),ISERROR(G799),ISERROR(H799)),"Error en fórmula: pegá como valores",IF(AND(B799="",$C$6=""),"Falta sector",IF(M799="","Falta capítulo",IF(TRIM(E799)="","Falta unidad",IF(NOT((COUNTIF(Listas!$A$2:$A$40,E799)+COUNTIF(Listas!$D$2:$D$60,E799)&gt;0)),"Unidad no reconocida",IF(AND(F799&lt;&gt;"",NOT(ISNUMBER(F799))),"Cantidad no es número",IF(N(F799)&lt;=0,"Falta cantidad",IF(OR(AND(G799&lt;&gt;"",NOT(ISNUMBER(G799))),AND(H799&lt;&gt;"",NOT(ISNUMBER(H799)))),"Precio no es número",IF(N(G799)+N(H799)&lt;=0,"Falta precio","✓ OK")))))))))))</f>
        <v/>
      </c>
      <c r="M799" t="str">
        <f>IF(N799&lt;&gt;"W","",IF(TRIM(C799)&lt;&gt;"",TRIM(C799),IFERROR(LOOKUP(2,1/(N$9:N799="T"),D$9:D799),"")))</f>
        <v/>
      </c>
      <c r="N799" t="str">
        <f t="shared" si="38"/>
        <v/>
      </c>
      <c r="O799" t="str">
        <f>IF(M799="","",IF(COUNTIF(M$9:M799,M799)=1,MAX(O$8:O798)+1,""))</f>
        <v/>
      </c>
    </row>
    <row r="800" spans="1:15" x14ac:dyDescent="0.75">
      <c r="A800" s="24" t="str">
        <f>IF(N800="W",COUNTIF(N$9:N800,"W"),"")</f>
        <v/>
      </c>
      <c r="B800" s="25"/>
      <c r="C800" s="25"/>
      <c r="D800" s="26"/>
      <c r="E800" s="25"/>
      <c r="F800" s="27"/>
      <c r="G800" s="28"/>
      <c r="H800" s="28"/>
      <c r="I800" s="29" t="str">
        <f t="shared" si="36"/>
        <v/>
      </c>
      <c r="J800" s="30" t="str">
        <f t="shared" si="37"/>
        <v/>
      </c>
      <c r="K800" s="26"/>
      <c r="L800" s="24" t="str">
        <f>IF(N800="","",IF(N800="T","Título de capítulo",IF(OR(ISERROR(F800),ISERROR(G800),ISERROR(H800)),"Error en fórmula: pegá como valores",IF(AND(B800="",$C$6=""),"Falta sector",IF(M800="","Falta capítulo",IF(TRIM(E800)="","Falta unidad",IF(NOT((COUNTIF(Listas!$A$2:$A$40,E800)+COUNTIF(Listas!$D$2:$D$60,E800)&gt;0)),"Unidad no reconocida",IF(AND(F800&lt;&gt;"",NOT(ISNUMBER(F800))),"Cantidad no es número",IF(N(F800)&lt;=0,"Falta cantidad",IF(OR(AND(G800&lt;&gt;"",NOT(ISNUMBER(G800))),AND(H800&lt;&gt;"",NOT(ISNUMBER(H800)))),"Precio no es número",IF(N(G800)+N(H800)&lt;=0,"Falta precio","✓ OK")))))))))))</f>
        <v/>
      </c>
      <c r="M800" t="str">
        <f>IF(N800&lt;&gt;"W","",IF(TRIM(C800)&lt;&gt;"",TRIM(C800),IFERROR(LOOKUP(2,1/(N$9:N800="T"),D$9:D800),"")))</f>
        <v/>
      </c>
      <c r="N800" t="str">
        <f t="shared" si="38"/>
        <v/>
      </c>
      <c r="O800" t="str">
        <f>IF(M800="","",IF(COUNTIF(M$9:M800,M800)=1,MAX(O$8:O799)+1,""))</f>
        <v/>
      </c>
    </row>
    <row r="801" spans="1:15" x14ac:dyDescent="0.75">
      <c r="A801" s="24" t="str">
        <f>IF(N801="W",COUNTIF(N$9:N801,"W"),"")</f>
        <v/>
      </c>
      <c r="B801" s="25"/>
      <c r="C801" s="25"/>
      <c r="D801" s="26"/>
      <c r="E801" s="25"/>
      <c r="F801" s="27"/>
      <c r="G801" s="28"/>
      <c r="H801" s="28"/>
      <c r="I801" s="29" t="str">
        <f t="shared" si="36"/>
        <v/>
      </c>
      <c r="J801" s="30" t="str">
        <f t="shared" si="37"/>
        <v/>
      </c>
      <c r="K801" s="26"/>
      <c r="L801" s="24" t="str">
        <f>IF(N801="","",IF(N801="T","Título de capítulo",IF(OR(ISERROR(F801),ISERROR(G801),ISERROR(H801)),"Error en fórmula: pegá como valores",IF(AND(B801="",$C$6=""),"Falta sector",IF(M801="","Falta capítulo",IF(TRIM(E801)="","Falta unidad",IF(NOT((COUNTIF(Listas!$A$2:$A$40,E801)+COUNTIF(Listas!$D$2:$D$60,E801)&gt;0)),"Unidad no reconocida",IF(AND(F801&lt;&gt;"",NOT(ISNUMBER(F801))),"Cantidad no es número",IF(N(F801)&lt;=0,"Falta cantidad",IF(OR(AND(G801&lt;&gt;"",NOT(ISNUMBER(G801))),AND(H801&lt;&gt;"",NOT(ISNUMBER(H801)))),"Precio no es número",IF(N(G801)+N(H801)&lt;=0,"Falta precio","✓ OK")))))))))))</f>
        <v/>
      </c>
      <c r="M801" t="str">
        <f>IF(N801&lt;&gt;"W","",IF(TRIM(C801)&lt;&gt;"",TRIM(C801),IFERROR(LOOKUP(2,1/(N$9:N801="T"),D$9:D801),"")))</f>
        <v/>
      </c>
      <c r="N801" t="str">
        <f t="shared" si="38"/>
        <v/>
      </c>
      <c r="O801" t="str">
        <f>IF(M801="","",IF(COUNTIF(M$9:M801,M801)=1,MAX(O$8:O800)+1,""))</f>
        <v/>
      </c>
    </row>
    <row r="802" spans="1:15" x14ac:dyDescent="0.75">
      <c r="A802" s="24" t="str">
        <f>IF(N802="W",COUNTIF(N$9:N802,"W"),"")</f>
        <v/>
      </c>
      <c r="B802" s="25"/>
      <c r="C802" s="25"/>
      <c r="D802" s="26"/>
      <c r="E802" s="25"/>
      <c r="F802" s="27"/>
      <c r="G802" s="28"/>
      <c r="H802" s="28"/>
      <c r="I802" s="29" t="str">
        <f t="shared" si="36"/>
        <v/>
      </c>
      <c r="J802" s="30" t="str">
        <f t="shared" si="37"/>
        <v/>
      </c>
      <c r="K802" s="26"/>
      <c r="L802" s="24" t="str">
        <f>IF(N802="","",IF(N802="T","Título de capítulo",IF(OR(ISERROR(F802),ISERROR(G802),ISERROR(H802)),"Error en fórmula: pegá como valores",IF(AND(B802="",$C$6=""),"Falta sector",IF(M802="","Falta capítulo",IF(TRIM(E802)="","Falta unidad",IF(NOT((COUNTIF(Listas!$A$2:$A$40,E802)+COUNTIF(Listas!$D$2:$D$60,E802)&gt;0)),"Unidad no reconocida",IF(AND(F802&lt;&gt;"",NOT(ISNUMBER(F802))),"Cantidad no es número",IF(N(F802)&lt;=0,"Falta cantidad",IF(OR(AND(G802&lt;&gt;"",NOT(ISNUMBER(G802))),AND(H802&lt;&gt;"",NOT(ISNUMBER(H802)))),"Precio no es número",IF(N(G802)+N(H802)&lt;=0,"Falta precio","✓ OK")))))))))))</f>
        <v/>
      </c>
      <c r="M802" t="str">
        <f>IF(N802&lt;&gt;"W","",IF(TRIM(C802)&lt;&gt;"",TRIM(C802),IFERROR(LOOKUP(2,1/(N$9:N802="T"),D$9:D802),"")))</f>
        <v/>
      </c>
      <c r="N802" t="str">
        <f t="shared" si="38"/>
        <v/>
      </c>
      <c r="O802" t="str">
        <f>IF(M802="","",IF(COUNTIF(M$9:M802,M802)=1,MAX(O$8:O801)+1,""))</f>
        <v/>
      </c>
    </row>
    <row r="803" spans="1:15" x14ac:dyDescent="0.75">
      <c r="A803" s="24" t="str">
        <f>IF(N803="W",COUNTIF(N$9:N803,"W"),"")</f>
        <v/>
      </c>
      <c r="B803" s="25"/>
      <c r="C803" s="25"/>
      <c r="D803" s="26"/>
      <c r="E803" s="25"/>
      <c r="F803" s="27"/>
      <c r="G803" s="28"/>
      <c r="H803" s="28"/>
      <c r="I803" s="29" t="str">
        <f t="shared" si="36"/>
        <v/>
      </c>
      <c r="J803" s="30" t="str">
        <f t="shared" si="37"/>
        <v/>
      </c>
      <c r="K803" s="26"/>
      <c r="L803" s="24" t="str">
        <f>IF(N803="","",IF(N803="T","Título de capítulo",IF(OR(ISERROR(F803),ISERROR(G803),ISERROR(H803)),"Error en fórmula: pegá como valores",IF(AND(B803="",$C$6=""),"Falta sector",IF(M803="","Falta capítulo",IF(TRIM(E803)="","Falta unidad",IF(NOT((COUNTIF(Listas!$A$2:$A$40,E803)+COUNTIF(Listas!$D$2:$D$60,E803)&gt;0)),"Unidad no reconocida",IF(AND(F803&lt;&gt;"",NOT(ISNUMBER(F803))),"Cantidad no es número",IF(N(F803)&lt;=0,"Falta cantidad",IF(OR(AND(G803&lt;&gt;"",NOT(ISNUMBER(G803))),AND(H803&lt;&gt;"",NOT(ISNUMBER(H803)))),"Precio no es número",IF(N(G803)+N(H803)&lt;=0,"Falta precio","✓ OK")))))))))))</f>
        <v/>
      </c>
      <c r="M803" t="str">
        <f>IF(N803&lt;&gt;"W","",IF(TRIM(C803)&lt;&gt;"",TRIM(C803),IFERROR(LOOKUP(2,1/(N$9:N803="T"),D$9:D803),"")))</f>
        <v/>
      </c>
      <c r="N803" t="str">
        <f t="shared" si="38"/>
        <v/>
      </c>
      <c r="O803" t="str">
        <f>IF(M803="","",IF(COUNTIF(M$9:M803,M803)=1,MAX(O$8:O802)+1,""))</f>
        <v/>
      </c>
    </row>
    <row r="804" spans="1:15" x14ac:dyDescent="0.75">
      <c r="A804" s="24" t="str">
        <f>IF(N804="W",COUNTIF(N$9:N804,"W"),"")</f>
        <v/>
      </c>
      <c r="B804" s="25"/>
      <c r="C804" s="25"/>
      <c r="D804" s="26"/>
      <c r="E804" s="25"/>
      <c r="F804" s="27"/>
      <c r="G804" s="28"/>
      <c r="H804" s="28"/>
      <c r="I804" s="29" t="str">
        <f t="shared" si="36"/>
        <v/>
      </c>
      <c r="J804" s="30" t="str">
        <f t="shared" si="37"/>
        <v/>
      </c>
      <c r="K804" s="26"/>
      <c r="L804" s="24" t="str">
        <f>IF(N804="","",IF(N804="T","Título de capítulo",IF(OR(ISERROR(F804),ISERROR(G804),ISERROR(H804)),"Error en fórmula: pegá como valores",IF(AND(B804="",$C$6=""),"Falta sector",IF(M804="","Falta capítulo",IF(TRIM(E804)="","Falta unidad",IF(NOT((COUNTIF(Listas!$A$2:$A$40,E804)+COUNTIF(Listas!$D$2:$D$60,E804)&gt;0)),"Unidad no reconocida",IF(AND(F804&lt;&gt;"",NOT(ISNUMBER(F804))),"Cantidad no es número",IF(N(F804)&lt;=0,"Falta cantidad",IF(OR(AND(G804&lt;&gt;"",NOT(ISNUMBER(G804))),AND(H804&lt;&gt;"",NOT(ISNUMBER(H804)))),"Precio no es número",IF(N(G804)+N(H804)&lt;=0,"Falta precio","✓ OK")))))))))))</f>
        <v/>
      </c>
      <c r="M804" t="str">
        <f>IF(N804&lt;&gt;"W","",IF(TRIM(C804)&lt;&gt;"",TRIM(C804),IFERROR(LOOKUP(2,1/(N$9:N804="T"),D$9:D804),"")))</f>
        <v/>
      </c>
      <c r="N804" t="str">
        <f t="shared" si="38"/>
        <v/>
      </c>
      <c r="O804" t="str">
        <f>IF(M804="","",IF(COUNTIF(M$9:M804,M804)=1,MAX(O$8:O803)+1,""))</f>
        <v/>
      </c>
    </row>
    <row r="805" spans="1:15" x14ac:dyDescent="0.75">
      <c r="A805" s="24" t="str">
        <f>IF(N805="W",COUNTIF(N$9:N805,"W"),"")</f>
        <v/>
      </c>
      <c r="B805" s="25"/>
      <c r="C805" s="25"/>
      <c r="D805" s="26"/>
      <c r="E805" s="25"/>
      <c r="F805" s="27"/>
      <c r="G805" s="28"/>
      <c r="H805" s="28"/>
      <c r="I805" s="29" t="str">
        <f t="shared" si="36"/>
        <v/>
      </c>
      <c r="J805" s="30" t="str">
        <f t="shared" si="37"/>
        <v/>
      </c>
      <c r="K805" s="26"/>
      <c r="L805" s="24" t="str">
        <f>IF(N805="","",IF(N805="T","Título de capítulo",IF(OR(ISERROR(F805),ISERROR(G805),ISERROR(H805)),"Error en fórmula: pegá como valores",IF(AND(B805="",$C$6=""),"Falta sector",IF(M805="","Falta capítulo",IF(TRIM(E805)="","Falta unidad",IF(NOT((COUNTIF(Listas!$A$2:$A$40,E805)+COUNTIF(Listas!$D$2:$D$60,E805)&gt;0)),"Unidad no reconocida",IF(AND(F805&lt;&gt;"",NOT(ISNUMBER(F805))),"Cantidad no es número",IF(N(F805)&lt;=0,"Falta cantidad",IF(OR(AND(G805&lt;&gt;"",NOT(ISNUMBER(G805))),AND(H805&lt;&gt;"",NOT(ISNUMBER(H805)))),"Precio no es número",IF(N(G805)+N(H805)&lt;=0,"Falta precio","✓ OK")))))))))))</f>
        <v/>
      </c>
      <c r="M805" t="str">
        <f>IF(N805&lt;&gt;"W","",IF(TRIM(C805)&lt;&gt;"",TRIM(C805),IFERROR(LOOKUP(2,1/(N$9:N805="T"),D$9:D805),"")))</f>
        <v/>
      </c>
      <c r="N805" t="str">
        <f t="shared" si="38"/>
        <v/>
      </c>
      <c r="O805" t="str">
        <f>IF(M805="","",IF(COUNTIF(M$9:M805,M805)=1,MAX(O$8:O804)+1,""))</f>
        <v/>
      </c>
    </row>
    <row r="806" spans="1:15" x14ac:dyDescent="0.75">
      <c r="A806" s="24" t="str">
        <f>IF(N806="W",COUNTIF(N$9:N806,"W"),"")</f>
        <v/>
      </c>
      <c r="B806" s="25"/>
      <c r="C806" s="25"/>
      <c r="D806" s="26"/>
      <c r="E806" s="25"/>
      <c r="F806" s="27"/>
      <c r="G806" s="28"/>
      <c r="H806" s="28"/>
      <c r="I806" s="29" t="str">
        <f t="shared" si="36"/>
        <v/>
      </c>
      <c r="J806" s="30" t="str">
        <f t="shared" si="37"/>
        <v/>
      </c>
      <c r="K806" s="26"/>
      <c r="L806" s="24" t="str">
        <f>IF(N806="","",IF(N806="T","Título de capítulo",IF(OR(ISERROR(F806),ISERROR(G806),ISERROR(H806)),"Error en fórmula: pegá como valores",IF(AND(B806="",$C$6=""),"Falta sector",IF(M806="","Falta capítulo",IF(TRIM(E806)="","Falta unidad",IF(NOT((COUNTIF(Listas!$A$2:$A$40,E806)+COUNTIF(Listas!$D$2:$D$60,E806)&gt;0)),"Unidad no reconocida",IF(AND(F806&lt;&gt;"",NOT(ISNUMBER(F806))),"Cantidad no es número",IF(N(F806)&lt;=0,"Falta cantidad",IF(OR(AND(G806&lt;&gt;"",NOT(ISNUMBER(G806))),AND(H806&lt;&gt;"",NOT(ISNUMBER(H806)))),"Precio no es número",IF(N(G806)+N(H806)&lt;=0,"Falta precio","✓ OK")))))))))))</f>
        <v/>
      </c>
      <c r="M806" t="str">
        <f>IF(N806&lt;&gt;"W","",IF(TRIM(C806)&lt;&gt;"",TRIM(C806),IFERROR(LOOKUP(2,1/(N$9:N806="T"),D$9:D806),"")))</f>
        <v/>
      </c>
      <c r="N806" t="str">
        <f t="shared" si="38"/>
        <v/>
      </c>
      <c r="O806" t="str">
        <f>IF(M806="","",IF(COUNTIF(M$9:M806,M806)=1,MAX(O$8:O805)+1,""))</f>
        <v/>
      </c>
    </row>
    <row r="807" spans="1:15" x14ac:dyDescent="0.75">
      <c r="A807" s="24" t="str">
        <f>IF(N807="W",COUNTIF(N$9:N807,"W"),"")</f>
        <v/>
      </c>
      <c r="B807" s="25"/>
      <c r="C807" s="25"/>
      <c r="D807" s="26"/>
      <c r="E807" s="25"/>
      <c r="F807" s="27"/>
      <c r="G807" s="28"/>
      <c r="H807" s="28"/>
      <c r="I807" s="29" t="str">
        <f t="shared" si="36"/>
        <v/>
      </c>
      <c r="J807" s="30" t="str">
        <f t="shared" si="37"/>
        <v/>
      </c>
      <c r="K807" s="26"/>
      <c r="L807" s="24" t="str">
        <f>IF(N807="","",IF(N807="T","Título de capítulo",IF(OR(ISERROR(F807),ISERROR(G807),ISERROR(H807)),"Error en fórmula: pegá como valores",IF(AND(B807="",$C$6=""),"Falta sector",IF(M807="","Falta capítulo",IF(TRIM(E807)="","Falta unidad",IF(NOT((COUNTIF(Listas!$A$2:$A$40,E807)+COUNTIF(Listas!$D$2:$D$60,E807)&gt;0)),"Unidad no reconocida",IF(AND(F807&lt;&gt;"",NOT(ISNUMBER(F807))),"Cantidad no es número",IF(N(F807)&lt;=0,"Falta cantidad",IF(OR(AND(G807&lt;&gt;"",NOT(ISNUMBER(G807))),AND(H807&lt;&gt;"",NOT(ISNUMBER(H807)))),"Precio no es número",IF(N(G807)+N(H807)&lt;=0,"Falta precio","✓ OK")))))))))))</f>
        <v/>
      </c>
      <c r="M807" t="str">
        <f>IF(N807&lt;&gt;"W","",IF(TRIM(C807)&lt;&gt;"",TRIM(C807),IFERROR(LOOKUP(2,1/(N$9:N807="T"),D$9:D807),"")))</f>
        <v/>
      </c>
      <c r="N807" t="str">
        <f t="shared" si="38"/>
        <v/>
      </c>
      <c r="O807" t="str">
        <f>IF(M807="","",IF(COUNTIF(M$9:M807,M807)=1,MAX(O$8:O806)+1,""))</f>
        <v/>
      </c>
    </row>
    <row r="808" spans="1:15" x14ac:dyDescent="0.75">
      <c r="A808" s="24" t="str">
        <f>IF(N808="W",COUNTIF(N$9:N808,"W"),"")</f>
        <v/>
      </c>
      <c r="B808" s="25"/>
      <c r="C808" s="25"/>
      <c r="D808" s="26"/>
      <c r="E808" s="25"/>
      <c r="F808" s="27"/>
      <c r="G808" s="28"/>
      <c r="H808" s="28"/>
      <c r="I808" s="29" t="str">
        <f t="shared" si="36"/>
        <v/>
      </c>
      <c r="J808" s="30" t="str">
        <f t="shared" si="37"/>
        <v/>
      </c>
      <c r="K808" s="26"/>
      <c r="L808" s="24" t="str">
        <f>IF(N808="","",IF(N808="T","Título de capítulo",IF(OR(ISERROR(F808),ISERROR(G808),ISERROR(H808)),"Error en fórmula: pegá como valores",IF(AND(B808="",$C$6=""),"Falta sector",IF(M808="","Falta capítulo",IF(TRIM(E808)="","Falta unidad",IF(NOT((COUNTIF(Listas!$A$2:$A$40,E808)+COUNTIF(Listas!$D$2:$D$60,E808)&gt;0)),"Unidad no reconocida",IF(AND(F808&lt;&gt;"",NOT(ISNUMBER(F808))),"Cantidad no es número",IF(N(F808)&lt;=0,"Falta cantidad",IF(OR(AND(G808&lt;&gt;"",NOT(ISNUMBER(G808))),AND(H808&lt;&gt;"",NOT(ISNUMBER(H808)))),"Precio no es número",IF(N(G808)+N(H808)&lt;=0,"Falta precio","✓ OK")))))))))))</f>
        <v/>
      </c>
      <c r="M808" t="str">
        <f>IF(N808&lt;&gt;"W","",IF(TRIM(C808)&lt;&gt;"",TRIM(C808),IFERROR(LOOKUP(2,1/(N$9:N808="T"),D$9:D808),"")))</f>
        <v/>
      </c>
      <c r="N808" t="str">
        <f t="shared" si="38"/>
        <v/>
      </c>
      <c r="O808" t="str">
        <f>IF(M808="","",IF(COUNTIF(M$9:M808,M808)=1,MAX(O$8:O807)+1,""))</f>
        <v/>
      </c>
    </row>
    <row r="809" spans="1:15" x14ac:dyDescent="0.75">
      <c r="A809" s="24" t="str">
        <f>IF(N809="W",COUNTIF(N$9:N809,"W"),"")</f>
        <v/>
      </c>
      <c r="B809" s="25"/>
      <c r="C809" s="25"/>
      <c r="D809" s="26"/>
      <c r="E809" s="25"/>
      <c r="F809" s="27"/>
      <c r="G809" s="28"/>
      <c r="H809" s="28"/>
      <c r="I809" s="29" t="str">
        <f t="shared" si="36"/>
        <v/>
      </c>
      <c r="J809" s="30" t="str">
        <f t="shared" si="37"/>
        <v/>
      </c>
      <c r="K809" s="26"/>
      <c r="L809" s="24" t="str">
        <f>IF(N809="","",IF(N809="T","Título de capítulo",IF(OR(ISERROR(F809),ISERROR(G809),ISERROR(H809)),"Error en fórmula: pegá como valores",IF(AND(B809="",$C$6=""),"Falta sector",IF(M809="","Falta capítulo",IF(TRIM(E809)="","Falta unidad",IF(NOT((COUNTIF(Listas!$A$2:$A$40,E809)+COUNTIF(Listas!$D$2:$D$60,E809)&gt;0)),"Unidad no reconocida",IF(AND(F809&lt;&gt;"",NOT(ISNUMBER(F809))),"Cantidad no es número",IF(N(F809)&lt;=0,"Falta cantidad",IF(OR(AND(G809&lt;&gt;"",NOT(ISNUMBER(G809))),AND(H809&lt;&gt;"",NOT(ISNUMBER(H809)))),"Precio no es número",IF(N(G809)+N(H809)&lt;=0,"Falta precio","✓ OK")))))))))))</f>
        <v/>
      </c>
      <c r="M809" t="str">
        <f>IF(N809&lt;&gt;"W","",IF(TRIM(C809)&lt;&gt;"",TRIM(C809),IFERROR(LOOKUP(2,1/(N$9:N809="T"),D$9:D809),"")))</f>
        <v/>
      </c>
      <c r="N809" t="str">
        <f t="shared" si="38"/>
        <v/>
      </c>
      <c r="O809" t="str">
        <f>IF(M809="","",IF(COUNTIF(M$9:M809,M809)=1,MAX(O$8:O808)+1,""))</f>
        <v/>
      </c>
    </row>
    <row r="810" spans="1:15" x14ac:dyDescent="0.75">
      <c r="A810" s="24" t="str">
        <f>IF(N810="W",COUNTIF(N$9:N810,"W"),"")</f>
        <v/>
      </c>
      <c r="B810" s="25"/>
      <c r="C810" s="25"/>
      <c r="D810" s="26"/>
      <c r="E810" s="25"/>
      <c r="F810" s="27"/>
      <c r="G810" s="28"/>
      <c r="H810" s="28"/>
      <c r="I810" s="29" t="str">
        <f t="shared" si="36"/>
        <v/>
      </c>
      <c r="J810" s="30" t="str">
        <f t="shared" si="37"/>
        <v/>
      </c>
      <c r="K810" s="26"/>
      <c r="L810" s="24" t="str">
        <f>IF(N810="","",IF(N810="T","Título de capítulo",IF(OR(ISERROR(F810),ISERROR(G810),ISERROR(H810)),"Error en fórmula: pegá como valores",IF(AND(B810="",$C$6=""),"Falta sector",IF(M810="","Falta capítulo",IF(TRIM(E810)="","Falta unidad",IF(NOT((COUNTIF(Listas!$A$2:$A$40,E810)+COUNTIF(Listas!$D$2:$D$60,E810)&gt;0)),"Unidad no reconocida",IF(AND(F810&lt;&gt;"",NOT(ISNUMBER(F810))),"Cantidad no es número",IF(N(F810)&lt;=0,"Falta cantidad",IF(OR(AND(G810&lt;&gt;"",NOT(ISNUMBER(G810))),AND(H810&lt;&gt;"",NOT(ISNUMBER(H810)))),"Precio no es número",IF(N(G810)+N(H810)&lt;=0,"Falta precio","✓ OK")))))))))))</f>
        <v/>
      </c>
      <c r="M810" t="str">
        <f>IF(N810&lt;&gt;"W","",IF(TRIM(C810)&lt;&gt;"",TRIM(C810),IFERROR(LOOKUP(2,1/(N$9:N810="T"),D$9:D810),"")))</f>
        <v/>
      </c>
      <c r="N810" t="str">
        <f t="shared" si="38"/>
        <v/>
      </c>
      <c r="O810" t="str">
        <f>IF(M810="","",IF(COUNTIF(M$9:M810,M810)=1,MAX(O$8:O809)+1,""))</f>
        <v/>
      </c>
    </row>
    <row r="811" spans="1:15" x14ac:dyDescent="0.75">
      <c r="A811" s="24" t="str">
        <f>IF(N811="W",COUNTIF(N$9:N811,"W"),"")</f>
        <v/>
      </c>
      <c r="B811" s="25"/>
      <c r="C811" s="25"/>
      <c r="D811" s="26"/>
      <c r="E811" s="25"/>
      <c r="F811" s="27"/>
      <c r="G811" s="28"/>
      <c r="H811" s="28"/>
      <c r="I811" s="29" t="str">
        <f t="shared" si="36"/>
        <v/>
      </c>
      <c r="J811" s="30" t="str">
        <f t="shared" si="37"/>
        <v/>
      </c>
      <c r="K811" s="26"/>
      <c r="L811" s="24" t="str">
        <f>IF(N811="","",IF(N811="T","Título de capítulo",IF(OR(ISERROR(F811),ISERROR(G811),ISERROR(H811)),"Error en fórmula: pegá como valores",IF(AND(B811="",$C$6=""),"Falta sector",IF(M811="","Falta capítulo",IF(TRIM(E811)="","Falta unidad",IF(NOT((COUNTIF(Listas!$A$2:$A$40,E811)+COUNTIF(Listas!$D$2:$D$60,E811)&gt;0)),"Unidad no reconocida",IF(AND(F811&lt;&gt;"",NOT(ISNUMBER(F811))),"Cantidad no es número",IF(N(F811)&lt;=0,"Falta cantidad",IF(OR(AND(G811&lt;&gt;"",NOT(ISNUMBER(G811))),AND(H811&lt;&gt;"",NOT(ISNUMBER(H811)))),"Precio no es número",IF(N(G811)+N(H811)&lt;=0,"Falta precio","✓ OK")))))))))))</f>
        <v/>
      </c>
      <c r="M811" t="str">
        <f>IF(N811&lt;&gt;"W","",IF(TRIM(C811)&lt;&gt;"",TRIM(C811),IFERROR(LOOKUP(2,1/(N$9:N811="T"),D$9:D811),"")))</f>
        <v/>
      </c>
      <c r="N811" t="str">
        <f t="shared" si="38"/>
        <v/>
      </c>
      <c r="O811" t="str">
        <f>IF(M811="","",IF(COUNTIF(M$9:M811,M811)=1,MAX(O$8:O810)+1,""))</f>
        <v/>
      </c>
    </row>
    <row r="812" spans="1:15" x14ac:dyDescent="0.75">
      <c r="A812" s="24" t="str">
        <f>IF(N812="W",COUNTIF(N$9:N812,"W"),"")</f>
        <v/>
      </c>
      <c r="B812" s="25"/>
      <c r="C812" s="25"/>
      <c r="D812" s="26"/>
      <c r="E812" s="25"/>
      <c r="F812" s="27"/>
      <c r="G812" s="28"/>
      <c r="H812" s="28"/>
      <c r="I812" s="29" t="str">
        <f t="shared" si="36"/>
        <v/>
      </c>
      <c r="J812" s="30" t="str">
        <f t="shared" si="37"/>
        <v/>
      </c>
      <c r="K812" s="26"/>
      <c r="L812" s="24" t="str">
        <f>IF(N812="","",IF(N812="T","Título de capítulo",IF(OR(ISERROR(F812),ISERROR(G812),ISERROR(H812)),"Error en fórmula: pegá como valores",IF(AND(B812="",$C$6=""),"Falta sector",IF(M812="","Falta capítulo",IF(TRIM(E812)="","Falta unidad",IF(NOT((COUNTIF(Listas!$A$2:$A$40,E812)+COUNTIF(Listas!$D$2:$D$60,E812)&gt;0)),"Unidad no reconocida",IF(AND(F812&lt;&gt;"",NOT(ISNUMBER(F812))),"Cantidad no es número",IF(N(F812)&lt;=0,"Falta cantidad",IF(OR(AND(G812&lt;&gt;"",NOT(ISNUMBER(G812))),AND(H812&lt;&gt;"",NOT(ISNUMBER(H812)))),"Precio no es número",IF(N(G812)+N(H812)&lt;=0,"Falta precio","✓ OK")))))))))))</f>
        <v/>
      </c>
      <c r="M812" t="str">
        <f>IF(N812&lt;&gt;"W","",IF(TRIM(C812)&lt;&gt;"",TRIM(C812),IFERROR(LOOKUP(2,1/(N$9:N812="T"),D$9:D812),"")))</f>
        <v/>
      </c>
      <c r="N812" t="str">
        <f t="shared" si="38"/>
        <v/>
      </c>
      <c r="O812" t="str">
        <f>IF(M812="","",IF(COUNTIF(M$9:M812,M812)=1,MAX(O$8:O811)+1,""))</f>
        <v/>
      </c>
    </row>
    <row r="813" spans="1:15" x14ac:dyDescent="0.75">
      <c r="A813" s="24" t="str">
        <f>IF(N813="W",COUNTIF(N$9:N813,"W"),"")</f>
        <v/>
      </c>
      <c r="B813" s="25"/>
      <c r="C813" s="25"/>
      <c r="D813" s="26"/>
      <c r="E813" s="25"/>
      <c r="F813" s="27"/>
      <c r="G813" s="28"/>
      <c r="H813" s="28"/>
      <c r="I813" s="29" t="str">
        <f t="shared" si="36"/>
        <v/>
      </c>
      <c r="J813" s="30" t="str">
        <f t="shared" si="37"/>
        <v/>
      </c>
      <c r="K813" s="26"/>
      <c r="L813" s="24" t="str">
        <f>IF(N813="","",IF(N813="T","Título de capítulo",IF(OR(ISERROR(F813),ISERROR(G813),ISERROR(H813)),"Error en fórmula: pegá como valores",IF(AND(B813="",$C$6=""),"Falta sector",IF(M813="","Falta capítulo",IF(TRIM(E813)="","Falta unidad",IF(NOT((COUNTIF(Listas!$A$2:$A$40,E813)+COUNTIF(Listas!$D$2:$D$60,E813)&gt;0)),"Unidad no reconocida",IF(AND(F813&lt;&gt;"",NOT(ISNUMBER(F813))),"Cantidad no es número",IF(N(F813)&lt;=0,"Falta cantidad",IF(OR(AND(G813&lt;&gt;"",NOT(ISNUMBER(G813))),AND(H813&lt;&gt;"",NOT(ISNUMBER(H813)))),"Precio no es número",IF(N(G813)+N(H813)&lt;=0,"Falta precio","✓ OK")))))))))))</f>
        <v/>
      </c>
      <c r="M813" t="str">
        <f>IF(N813&lt;&gt;"W","",IF(TRIM(C813)&lt;&gt;"",TRIM(C813),IFERROR(LOOKUP(2,1/(N$9:N813="T"),D$9:D813),"")))</f>
        <v/>
      </c>
      <c r="N813" t="str">
        <f t="shared" si="38"/>
        <v/>
      </c>
      <c r="O813" t="str">
        <f>IF(M813="","",IF(COUNTIF(M$9:M813,M813)=1,MAX(O$8:O812)+1,""))</f>
        <v/>
      </c>
    </row>
    <row r="814" spans="1:15" x14ac:dyDescent="0.75">
      <c r="A814" s="24" t="str">
        <f>IF(N814="W",COUNTIF(N$9:N814,"W"),"")</f>
        <v/>
      </c>
      <c r="B814" s="25"/>
      <c r="C814" s="25"/>
      <c r="D814" s="26"/>
      <c r="E814" s="25"/>
      <c r="F814" s="27"/>
      <c r="G814" s="28"/>
      <c r="H814" s="28"/>
      <c r="I814" s="29" t="str">
        <f t="shared" si="36"/>
        <v/>
      </c>
      <c r="J814" s="30" t="str">
        <f t="shared" si="37"/>
        <v/>
      </c>
      <c r="K814" s="26"/>
      <c r="L814" s="24" t="str">
        <f>IF(N814="","",IF(N814="T","Título de capítulo",IF(OR(ISERROR(F814),ISERROR(G814),ISERROR(H814)),"Error en fórmula: pegá como valores",IF(AND(B814="",$C$6=""),"Falta sector",IF(M814="","Falta capítulo",IF(TRIM(E814)="","Falta unidad",IF(NOT((COUNTIF(Listas!$A$2:$A$40,E814)+COUNTIF(Listas!$D$2:$D$60,E814)&gt;0)),"Unidad no reconocida",IF(AND(F814&lt;&gt;"",NOT(ISNUMBER(F814))),"Cantidad no es número",IF(N(F814)&lt;=0,"Falta cantidad",IF(OR(AND(G814&lt;&gt;"",NOT(ISNUMBER(G814))),AND(H814&lt;&gt;"",NOT(ISNUMBER(H814)))),"Precio no es número",IF(N(G814)+N(H814)&lt;=0,"Falta precio","✓ OK")))))))))))</f>
        <v/>
      </c>
      <c r="M814" t="str">
        <f>IF(N814&lt;&gt;"W","",IF(TRIM(C814)&lt;&gt;"",TRIM(C814),IFERROR(LOOKUP(2,1/(N$9:N814="T"),D$9:D814),"")))</f>
        <v/>
      </c>
      <c r="N814" t="str">
        <f t="shared" si="38"/>
        <v/>
      </c>
      <c r="O814" t="str">
        <f>IF(M814="","",IF(COUNTIF(M$9:M814,M814)=1,MAX(O$8:O813)+1,""))</f>
        <v/>
      </c>
    </row>
    <row r="815" spans="1:15" x14ac:dyDescent="0.75">
      <c r="A815" s="24" t="str">
        <f>IF(N815="W",COUNTIF(N$9:N815,"W"),"")</f>
        <v/>
      </c>
      <c r="B815" s="25"/>
      <c r="C815" s="25"/>
      <c r="D815" s="26"/>
      <c r="E815" s="25"/>
      <c r="F815" s="27"/>
      <c r="G815" s="28"/>
      <c r="H815" s="28"/>
      <c r="I815" s="29" t="str">
        <f t="shared" si="36"/>
        <v/>
      </c>
      <c r="J815" s="30" t="str">
        <f t="shared" si="37"/>
        <v/>
      </c>
      <c r="K815" s="26"/>
      <c r="L815" s="24" t="str">
        <f>IF(N815="","",IF(N815="T","Título de capítulo",IF(OR(ISERROR(F815),ISERROR(G815),ISERROR(H815)),"Error en fórmula: pegá como valores",IF(AND(B815="",$C$6=""),"Falta sector",IF(M815="","Falta capítulo",IF(TRIM(E815)="","Falta unidad",IF(NOT((COUNTIF(Listas!$A$2:$A$40,E815)+COUNTIF(Listas!$D$2:$D$60,E815)&gt;0)),"Unidad no reconocida",IF(AND(F815&lt;&gt;"",NOT(ISNUMBER(F815))),"Cantidad no es número",IF(N(F815)&lt;=0,"Falta cantidad",IF(OR(AND(G815&lt;&gt;"",NOT(ISNUMBER(G815))),AND(H815&lt;&gt;"",NOT(ISNUMBER(H815)))),"Precio no es número",IF(N(G815)+N(H815)&lt;=0,"Falta precio","✓ OK")))))))))))</f>
        <v/>
      </c>
      <c r="M815" t="str">
        <f>IF(N815&lt;&gt;"W","",IF(TRIM(C815)&lt;&gt;"",TRIM(C815),IFERROR(LOOKUP(2,1/(N$9:N815="T"),D$9:D815),"")))</f>
        <v/>
      </c>
      <c r="N815" t="str">
        <f t="shared" si="38"/>
        <v/>
      </c>
      <c r="O815" t="str">
        <f>IF(M815="","",IF(COUNTIF(M$9:M815,M815)=1,MAX(O$8:O814)+1,""))</f>
        <v/>
      </c>
    </row>
    <row r="816" spans="1:15" x14ac:dyDescent="0.75">
      <c r="A816" s="24" t="str">
        <f>IF(N816="W",COUNTIF(N$9:N816,"W"),"")</f>
        <v/>
      </c>
      <c r="B816" s="25"/>
      <c r="C816" s="25"/>
      <c r="D816" s="26"/>
      <c r="E816" s="25"/>
      <c r="F816" s="27"/>
      <c r="G816" s="28"/>
      <c r="H816" s="28"/>
      <c r="I816" s="29" t="str">
        <f t="shared" si="36"/>
        <v/>
      </c>
      <c r="J816" s="30" t="str">
        <f t="shared" si="37"/>
        <v/>
      </c>
      <c r="K816" s="26"/>
      <c r="L816" s="24" t="str">
        <f>IF(N816="","",IF(N816="T","Título de capítulo",IF(OR(ISERROR(F816),ISERROR(G816),ISERROR(H816)),"Error en fórmula: pegá como valores",IF(AND(B816="",$C$6=""),"Falta sector",IF(M816="","Falta capítulo",IF(TRIM(E816)="","Falta unidad",IF(NOT((COUNTIF(Listas!$A$2:$A$40,E816)+COUNTIF(Listas!$D$2:$D$60,E816)&gt;0)),"Unidad no reconocida",IF(AND(F816&lt;&gt;"",NOT(ISNUMBER(F816))),"Cantidad no es número",IF(N(F816)&lt;=0,"Falta cantidad",IF(OR(AND(G816&lt;&gt;"",NOT(ISNUMBER(G816))),AND(H816&lt;&gt;"",NOT(ISNUMBER(H816)))),"Precio no es número",IF(N(G816)+N(H816)&lt;=0,"Falta precio","✓ OK")))))))))))</f>
        <v/>
      </c>
      <c r="M816" t="str">
        <f>IF(N816&lt;&gt;"W","",IF(TRIM(C816)&lt;&gt;"",TRIM(C816),IFERROR(LOOKUP(2,1/(N$9:N816="T"),D$9:D816),"")))</f>
        <v/>
      </c>
      <c r="N816" t="str">
        <f t="shared" si="38"/>
        <v/>
      </c>
      <c r="O816" t="str">
        <f>IF(M816="","",IF(COUNTIF(M$9:M816,M816)=1,MAX(O$8:O815)+1,""))</f>
        <v/>
      </c>
    </row>
    <row r="817" spans="1:15" x14ac:dyDescent="0.75">
      <c r="A817" s="24" t="str">
        <f>IF(N817="W",COUNTIF(N$9:N817,"W"),"")</f>
        <v/>
      </c>
      <c r="B817" s="25"/>
      <c r="C817" s="25"/>
      <c r="D817" s="26"/>
      <c r="E817" s="25"/>
      <c r="F817" s="27"/>
      <c r="G817" s="28"/>
      <c r="H817" s="28"/>
      <c r="I817" s="29" t="str">
        <f t="shared" si="36"/>
        <v/>
      </c>
      <c r="J817" s="30" t="str">
        <f t="shared" si="37"/>
        <v/>
      </c>
      <c r="K817" s="26"/>
      <c r="L817" s="24" t="str">
        <f>IF(N817="","",IF(N817="T","Título de capítulo",IF(OR(ISERROR(F817),ISERROR(G817),ISERROR(H817)),"Error en fórmula: pegá como valores",IF(AND(B817="",$C$6=""),"Falta sector",IF(M817="","Falta capítulo",IF(TRIM(E817)="","Falta unidad",IF(NOT((COUNTIF(Listas!$A$2:$A$40,E817)+COUNTIF(Listas!$D$2:$D$60,E817)&gt;0)),"Unidad no reconocida",IF(AND(F817&lt;&gt;"",NOT(ISNUMBER(F817))),"Cantidad no es número",IF(N(F817)&lt;=0,"Falta cantidad",IF(OR(AND(G817&lt;&gt;"",NOT(ISNUMBER(G817))),AND(H817&lt;&gt;"",NOT(ISNUMBER(H817)))),"Precio no es número",IF(N(G817)+N(H817)&lt;=0,"Falta precio","✓ OK")))))))))))</f>
        <v/>
      </c>
      <c r="M817" t="str">
        <f>IF(N817&lt;&gt;"W","",IF(TRIM(C817)&lt;&gt;"",TRIM(C817),IFERROR(LOOKUP(2,1/(N$9:N817="T"),D$9:D817),"")))</f>
        <v/>
      </c>
      <c r="N817" t="str">
        <f t="shared" si="38"/>
        <v/>
      </c>
      <c r="O817" t="str">
        <f>IF(M817="","",IF(COUNTIF(M$9:M817,M817)=1,MAX(O$8:O816)+1,""))</f>
        <v/>
      </c>
    </row>
    <row r="818" spans="1:15" x14ac:dyDescent="0.75">
      <c r="A818" s="24" t="str">
        <f>IF(N818="W",COUNTIF(N$9:N818,"W"),"")</f>
        <v/>
      </c>
      <c r="B818" s="25"/>
      <c r="C818" s="25"/>
      <c r="D818" s="26"/>
      <c r="E818" s="25"/>
      <c r="F818" s="27"/>
      <c r="G818" s="28"/>
      <c r="H818" s="28"/>
      <c r="I818" s="29" t="str">
        <f t="shared" si="36"/>
        <v/>
      </c>
      <c r="J818" s="30" t="str">
        <f t="shared" si="37"/>
        <v/>
      </c>
      <c r="K818" s="26"/>
      <c r="L818" s="24" t="str">
        <f>IF(N818="","",IF(N818="T","Título de capítulo",IF(OR(ISERROR(F818),ISERROR(G818),ISERROR(H818)),"Error en fórmula: pegá como valores",IF(AND(B818="",$C$6=""),"Falta sector",IF(M818="","Falta capítulo",IF(TRIM(E818)="","Falta unidad",IF(NOT((COUNTIF(Listas!$A$2:$A$40,E818)+COUNTIF(Listas!$D$2:$D$60,E818)&gt;0)),"Unidad no reconocida",IF(AND(F818&lt;&gt;"",NOT(ISNUMBER(F818))),"Cantidad no es número",IF(N(F818)&lt;=0,"Falta cantidad",IF(OR(AND(G818&lt;&gt;"",NOT(ISNUMBER(G818))),AND(H818&lt;&gt;"",NOT(ISNUMBER(H818)))),"Precio no es número",IF(N(G818)+N(H818)&lt;=0,"Falta precio","✓ OK")))))))))))</f>
        <v/>
      </c>
      <c r="M818" t="str">
        <f>IF(N818&lt;&gt;"W","",IF(TRIM(C818)&lt;&gt;"",TRIM(C818),IFERROR(LOOKUP(2,1/(N$9:N818="T"),D$9:D818),"")))</f>
        <v/>
      </c>
      <c r="N818" t="str">
        <f t="shared" si="38"/>
        <v/>
      </c>
      <c r="O818" t="str">
        <f>IF(M818="","",IF(COUNTIF(M$9:M818,M818)=1,MAX(O$8:O817)+1,""))</f>
        <v/>
      </c>
    </row>
    <row r="819" spans="1:15" x14ac:dyDescent="0.75">
      <c r="A819" s="24" t="str">
        <f>IF(N819="W",COUNTIF(N$9:N819,"W"),"")</f>
        <v/>
      </c>
      <c r="B819" s="25"/>
      <c r="C819" s="25"/>
      <c r="D819" s="26"/>
      <c r="E819" s="25"/>
      <c r="F819" s="27"/>
      <c r="G819" s="28"/>
      <c r="H819" s="28"/>
      <c r="I819" s="29" t="str">
        <f t="shared" si="36"/>
        <v/>
      </c>
      <c r="J819" s="30" t="str">
        <f t="shared" si="37"/>
        <v/>
      </c>
      <c r="K819" s="26"/>
      <c r="L819" s="24" t="str">
        <f>IF(N819="","",IF(N819="T","Título de capítulo",IF(OR(ISERROR(F819),ISERROR(G819),ISERROR(H819)),"Error en fórmula: pegá como valores",IF(AND(B819="",$C$6=""),"Falta sector",IF(M819="","Falta capítulo",IF(TRIM(E819)="","Falta unidad",IF(NOT((COUNTIF(Listas!$A$2:$A$40,E819)+COUNTIF(Listas!$D$2:$D$60,E819)&gt;0)),"Unidad no reconocida",IF(AND(F819&lt;&gt;"",NOT(ISNUMBER(F819))),"Cantidad no es número",IF(N(F819)&lt;=0,"Falta cantidad",IF(OR(AND(G819&lt;&gt;"",NOT(ISNUMBER(G819))),AND(H819&lt;&gt;"",NOT(ISNUMBER(H819)))),"Precio no es número",IF(N(G819)+N(H819)&lt;=0,"Falta precio","✓ OK")))))))))))</f>
        <v/>
      </c>
      <c r="M819" t="str">
        <f>IF(N819&lt;&gt;"W","",IF(TRIM(C819)&lt;&gt;"",TRIM(C819),IFERROR(LOOKUP(2,1/(N$9:N819="T"),D$9:D819),"")))</f>
        <v/>
      </c>
      <c r="N819" t="str">
        <f t="shared" si="38"/>
        <v/>
      </c>
      <c r="O819" t="str">
        <f>IF(M819="","",IF(COUNTIF(M$9:M819,M819)=1,MAX(O$8:O818)+1,""))</f>
        <v/>
      </c>
    </row>
    <row r="820" spans="1:15" x14ac:dyDescent="0.75">
      <c r="A820" s="24" t="str">
        <f>IF(N820="W",COUNTIF(N$9:N820,"W"),"")</f>
        <v/>
      </c>
      <c r="B820" s="25"/>
      <c r="C820" s="25"/>
      <c r="D820" s="26"/>
      <c r="E820" s="25"/>
      <c r="F820" s="27"/>
      <c r="G820" s="28"/>
      <c r="H820" s="28"/>
      <c r="I820" s="29" t="str">
        <f t="shared" si="36"/>
        <v/>
      </c>
      <c r="J820" s="30" t="str">
        <f t="shared" si="37"/>
        <v/>
      </c>
      <c r="K820" s="26"/>
      <c r="L820" s="24" t="str">
        <f>IF(N820="","",IF(N820="T","Título de capítulo",IF(OR(ISERROR(F820),ISERROR(G820),ISERROR(H820)),"Error en fórmula: pegá como valores",IF(AND(B820="",$C$6=""),"Falta sector",IF(M820="","Falta capítulo",IF(TRIM(E820)="","Falta unidad",IF(NOT((COUNTIF(Listas!$A$2:$A$40,E820)+COUNTIF(Listas!$D$2:$D$60,E820)&gt;0)),"Unidad no reconocida",IF(AND(F820&lt;&gt;"",NOT(ISNUMBER(F820))),"Cantidad no es número",IF(N(F820)&lt;=0,"Falta cantidad",IF(OR(AND(G820&lt;&gt;"",NOT(ISNUMBER(G820))),AND(H820&lt;&gt;"",NOT(ISNUMBER(H820)))),"Precio no es número",IF(N(G820)+N(H820)&lt;=0,"Falta precio","✓ OK")))))))))))</f>
        <v/>
      </c>
      <c r="M820" t="str">
        <f>IF(N820&lt;&gt;"W","",IF(TRIM(C820)&lt;&gt;"",TRIM(C820),IFERROR(LOOKUP(2,1/(N$9:N820="T"),D$9:D820),"")))</f>
        <v/>
      </c>
      <c r="N820" t="str">
        <f t="shared" si="38"/>
        <v/>
      </c>
      <c r="O820" t="str">
        <f>IF(M820="","",IF(COUNTIF(M$9:M820,M820)=1,MAX(O$8:O819)+1,""))</f>
        <v/>
      </c>
    </row>
    <row r="821" spans="1:15" x14ac:dyDescent="0.75">
      <c r="A821" s="24" t="str">
        <f>IF(N821="W",COUNTIF(N$9:N821,"W"),"")</f>
        <v/>
      </c>
      <c r="B821" s="25"/>
      <c r="C821" s="25"/>
      <c r="D821" s="26"/>
      <c r="E821" s="25"/>
      <c r="F821" s="27"/>
      <c r="G821" s="28"/>
      <c r="H821" s="28"/>
      <c r="I821" s="29" t="str">
        <f t="shared" si="36"/>
        <v/>
      </c>
      <c r="J821" s="30" t="str">
        <f t="shared" si="37"/>
        <v/>
      </c>
      <c r="K821" s="26"/>
      <c r="L821" s="24" t="str">
        <f>IF(N821="","",IF(N821="T","Título de capítulo",IF(OR(ISERROR(F821),ISERROR(G821),ISERROR(H821)),"Error en fórmula: pegá como valores",IF(AND(B821="",$C$6=""),"Falta sector",IF(M821="","Falta capítulo",IF(TRIM(E821)="","Falta unidad",IF(NOT((COUNTIF(Listas!$A$2:$A$40,E821)+COUNTIF(Listas!$D$2:$D$60,E821)&gt;0)),"Unidad no reconocida",IF(AND(F821&lt;&gt;"",NOT(ISNUMBER(F821))),"Cantidad no es número",IF(N(F821)&lt;=0,"Falta cantidad",IF(OR(AND(G821&lt;&gt;"",NOT(ISNUMBER(G821))),AND(H821&lt;&gt;"",NOT(ISNUMBER(H821)))),"Precio no es número",IF(N(G821)+N(H821)&lt;=0,"Falta precio","✓ OK")))))))))))</f>
        <v/>
      </c>
      <c r="M821" t="str">
        <f>IF(N821&lt;&gt;"W","",IF(TRIM(C821)&lt;&gt;"",TRIM(C821),IFERROR(LOOKUP(2,1/(N$9:N821="T"),D$9:D821),"")))</f>
        <v/>
      </c>
      <c r="N821" t="str">
        <f t="shared" si="38"/>
        <v/>
      </c>
      <c r="O821" t="str">
        <f>IF(M821="","",IF(COUNTIF(M$9:M821,M821)=1,MAX(O$8:O820)+1,""))</f>
        <v/>
      </c>
    </row>
    <row r="822" spans="1:15" x14ac:dyDescent="0.75">
      <c r="A822" s="24" t="str">
        <f>IF(N822="W",COUNTIF(N$9:N822,"W"),"")</f>
        <v/>
      </c>
      <c r="B822" s="25"/>
      <c r="C822" s="25"/>
      <c r="D822" s="26"/>
      <c r="E822" s="25"/>
      <c r="F822" s="27"/>
      <c r="G822" s="28"/>
      <c r="H822" s="28"/>
      <c r="I822" s="29" t="str">
        <f t="shared" si="36"/>
        <v/>
      </c>
      <c r="J822" s="30" t="str">
        <f t="shared" si="37"/>
        <v/>
      </c>
      <c r="K822" s="26"/>
      <c r="L822" s="24" t="str">
        <f>IF(N822="","",IF(N822="T","Título de capítulo",IF(OR(ISERROR(F822),ISERROR(G822),ISERROR(H822)),"Error en fórmula: pegá como valores",IF(AND(B822="",$C$6=""),"Falta sector",IF(M822="","Falta capítulo",IF(TRIM(E822)="","Falta unidad",IF(NOT((COUNTIF(Listas!$A$2:$A$40,E822)+COUNTIF(Listas!$D$2:$D$60,E822)&gt;0)),"Unidad no reconocida",IF(AND(F822&lt;&gt;"",NOT(ISNUMBER(F822))),"Cantidad no es número",IF(N(F822)&lt;=0,"Falta cantidad",IF(OR(AND(G822&lt;&gt;"",NOT(ISNUMBER(G822))),AND(H822&lt;&gt;"",NOT(ISNUMBER(H822)))),"Precio no es número",IF(N(G822)+N(H822)&lt;=0,"Falta precio","✓ OK")))))))))))</f>
        <v/>
      </c>
      <c r="M822" t="str">
        <f>IF(N822&lt;&gt;"W","",IF(TRIM(C822)&lt;&gt;"",TRIM(C822),IFERROR(LOOKUP(2,1/(N$9:N822="T"),D$9:D822),"")))</f>
        <v/>
      </c>
      <c r="N822" t="str">
        <f t="shared" si="38"/>
        <v/>
      </c>
      <c r="O822" t="str">
        <f>IF(M822="","",IF(COUNTIF(M$9:M822,M822)=1,MAX(O$8:O821)+1,""))</f>
        <v/>
      </c>
    </row>
    <row r="823" spans="1:15" x14ac:dyDescent="0.75">
      <c r="A823" s="24" t="str">
        <f>IF(N823="W",COUNTIF(N$9:N823,"W"),"")</f>
        <v/>
      </c>
      <c r="B823" s="25"/>
      <c r="C823" s="25"/>
      <c r="D823" s="26"/>
      <c r="E823" s="25"/>
      <c r="F823" s="27"/>
      <c r="G823" s="28"/>
      <c r="H823" s="28"/>
      <c r="I823" s="29" t="str">
        <f t="shared" si="36"/>
        <v/>
      </c>
      <c r="J823" s="30" t="str">
        <f t="shared" si="37"/>
        <v/>
      </c>
      <c r="K823" s="26"/>
      <c r="L823" s="24" t="str">
        <f>IF(N823="","",IF(N823="T","Título de capítulo",IF(OR(ISERROR(F823),ISERROR(G823),ISERROR(H823)),"Error en fórmula: pegá como valores",IF(AND(B823="",$C$6=""),"Falta sector",IF(M823="","Falta capítulo",IF(TRIM(E823)="","Falta unidad",IF(NOT((COUNTIF(Listas!$A$2:$A$40,E823)+COUNTIF(Listas!$D$2:$D$60,E823)&gt;0)),"Unidad no reconocida",IF(AND(F823&lt;&gt;"",NOT(ISNUMBER(F823))),"Cantidad no es número",IF(N(F823)&lt;=0,"Falta cantidad",IF(OR(AND(G823&lt;&gt;"",NOT(ISNUMBER(G823))),AND(H823&lt;&gt;"",NOT(ISNUMBER(H823)))),"Precio no es número",IF(N(G823)+N(H823)&lt;=0,"Falta precio","✓ OK")))))))))))</f>
        <v/>
      </c>
      <c r="M823" t="str">
        <f>IF(N823&lt;&gt;"W","",IF(TRIM(C823)&lt;&gt;"",TRIM(C823),IFERROR(LOOKUP(2,1/(N$9:N823="T"),D$9:D823),"")))</f>
        <v/>
      </c>
      <c r="N823" t="str">
        <f t="shared" si="38"/>
        <v/>
      </c>
      <c r="O823" t="str">
        <f>IF(M823="","",IF(COUNTIF(M$9:M823,M823)=1,MAX(O$8:O822)+1,""))</f>
        <v/>
      </c>
    </row>
    <row r="824" spans="1:15" x14ac:dyDescent="0.75">
      <c r="A824" s="24" t="str">
        <f>IF(N824="W",COUNTIF(N$9:N824,"W"),"")</f>
        <v/>
      </c>
      <c r="B824" s="25"/>
      <c r="C824" s="25"/>
      <c r="D824" s="26"/>
      <c r="E824" s="25"/>
      <c r="F824" s="27"/>
      <c r="G824" s="28"/>
      <c r="H824" s="28"/>
      <c r="I824" s="29" t="str">
        <f t="shared" si="36"/>
        <v/>
      </c>
      <c r="J824" s="30" t="str">
        <f t="shared" si="37"/>
        <v/>
      </c>
      <c r="K824" s="26"/>
      <c r="L824" s="24" t="str">
        <f>IF(N824="","",IF(N824="T","Título de capítulo",IF(OR(ISERROR(F824),ISERROR(G824),ISERROR(H824)),"Error en fórmula: pegá como valores",IF(AND(B824="",$C$6=""),"Falta sector",IF(M824="","Falta capítulo",IF(TRIM(E824)="","Falta unidad",IF(NOT((COUNTIF(Listas!$A$2:$A$40,E824)+COUNTIF(Listas!$D$2:$D$60,E824)&gt;0)),"Unidad no reconocida",IF(AND(F824&lt;&gt;"",NOT(ISNUMBER(F824))),"Cantidad no es número",IF(N(F824)&lt;=0,"Falta cantidad",IF(OR(AND(G824&lt;&gt;"",NOT(ISNUMBER(G824))),AND(H824&lt;&gt;"",NOT(ISNUMBER(H824)))),"Precio no es número",IF(N(G824)+N(H824)&lt;=0,"Falta precio","✓ OK")))))))))))</f>
        <v/>
      </c>
      <c r="M824" t="str">
        <f>IF(N824&lt;&gt;"W","",IF(TRIM(C824)&lt;&gt;"",TRIM(C824),IFERROR(LOOKUP(2,1/(N$9:N824="T"),D$9:D824),"")))</f>
        <v/>
      </c>
      <c r="N824" t="str">
        <f t="shared" si="38"/>
        <v/>
      </c>
      <c r="O824" t="str">
        <f>IF(M824="","",IF(COUNTIF(M$9:M824,M824)=1,MAX(O$8:O823)+1,""))</f>
        <v/>
      </c>
    </row>
    <row r="825" spans="1:15" x14ac:dyDescent="0.75">
      <c r="A825" s="24" t="str">
        <f>IF(N825="W",COUNTIF(N$9:N825,"W"),"")</f>
        <v/>
      </c>
      <c r="B825" s="25"/>
      <c r="C825" s="25"/>
      <c r="D825" s="26"/>
      <c r="E825" s="25"/>
      <c r="F825" s="27"/>
      <c r="G825" s="28"/>
      <c r="H825" s="28"/>
      <c r="I825" s="29" t="str">
        <f t="shared" si="36"/>
        <v/>
      </c>
      <c r="J825" s="30" t="str">
        <f t="shared" si="37"/>
        <v/>
      </c>
      <c r="K825" s="26"/>
      <c r="L825" s="24" t="str">
        <f>IF(N825="","",IF(N825="T","Título de capítulo",IF(OR(ISERROR(F825),ISERROR(G825),ISERROR(H825)),"Error en fórmula: pegá como valores",IF(AND(B825="",$C$6=""),"Falta sector",IF(M825="","Falta capítulo",IF(TRIM(E825)="","Falta unidad",IF(NOT((COUNTIF(Listas!$A$2:$A$40,E825)+COUNTIF(Listas!$D$2:$D$60,E825)&gt;0)),"Unidad no reconocida",IF(AND(F825&lt;&gt;"",NOT(ISNUMBER(F825))),"Cantidad no es número",IF(N(F825)&lt;=0,"Falta cantidad",IF(OR(AND(G825&lt;&gt;"",NOT(ISNUMBER(G825))),AND(H825&lt;&gt;"",NOT(ISNUMBER(H825)))),"Precio no es número",IF(N(G825)+N(H825)&lt;=0,"Falta precio","✓ OK")))))))))))</f>
        <v/>
      </c>
      <c r="M825" t="str">
        <f>IF(N825&lt;&gt;"W","",IF(TRIM(C825)&lt;&gt;"",TRIM(C825),IFERROR(LOOKUP(2,1/(N$9:N825="T"),D$9:D825),"")))</f>
        <v/>
      </c>
      <c r="N825" t="str">
        <f t="shared" si="38"/>
        <v/>
      </c>
      <c r="O825" t="str">
        <f>IF(M825="","",IF(COUNTIF(M$9:M825,M825)=1,MAX(O$8:O824)+1,""))</f>
        <v/>
      </c>
    </row>
    <row r="826" spans="1:15" x14ac:dyDescent="0.75">
      <c r="A826" s="24" t="str">
        <f>IF(N826="W",COUNTIF(N$9:N826,"W"),"")</f>
        <v/>
      </c>
      <c r="B826" s="25"/>
      <c r="C826" s="25"/>
      <c r="D826" s="26"/>
      <c r="E826" s="25"/>
      <c r="F826" s="27"/>
      <c r="G826" s="28"/>
      <c r="H826" s="28"/>
      <c r="I826" s="29" t="str">
        <f t="shared" si="36"/>
        <v/>
      </c>
      <c r="J826" s="30" t="str">
        <f t="shared" si="37"/>
        <v/>
      </c>
      <c r="K826" s="26"/>
      <c r="L826" s="24" t="str">
        <f>IF(N826="","",IF(N826="T","Título de capítulo",IF(OR(ISERROR(F826),ISERROR(G826),ISERROR(H826)),"Error en fórmula: pegá como valores",IF(AND(B826="",$C$6=""),"Falta sector",IF(M826="","Falta capítulo",IF(TRIM(E826)="","Falta unidad",IF(NOT((COUNTIF(Listas!$A$2:$A$40,E826)+COUNTIF(Listas!$D$2:$D$60,E826)&gt;0)),"Unidad no reconocida",IF(AND(F826&lt;&gt;"",NOT(ISNUMBER(F826))),"Cantidad no es número",IF(N(F826)&lt;=0,"Falta cantidad",IF(OR(AND(G826&lt;&gt;"",NOT(ISNUMBER(G826))),AND(H826&lt;&gt;"",NOT(ISNUMBER(H826)))),"Precio no es número",IF(N(G826)+N(H826)&lt;=0,"Falta precio","✓ OK")))))))))))</f>
        <v/>
      </c>
      <c r="M826" t="str">
        <f>IF(N826&lt;&gt;"W","",IF(TRIM(C826)&lt;&gt;"",TRIM(C826),IFERROR(LOOKUP(2,1/(N$9:N826="T"),D$9:D826),"")))</f>
        <v/>
      </c>
      <c r="N826" t="str">
        <f t="shared" si="38"/>
        <v/>
      </c>
      <c r="O826" t="str">
        <f>IF(M826="","",IF(COUNTIF(M$9:M826,M826)=1,MAX(O$8:O825)+1,""))</f>
        <v/>
      </c>
    </row>
    <row r="827" spans="1:15" x14ac:dyDescent="0.75">
      <c r="A827" s="24" t="str">
        <f>IF(N827="W",COUNTIF(N$9:N827,"W"),"")</f>
        <v/>
      </c>
      <c r="B827" s="25"/>
      <c r="C827" s="25"/>
      <c r="D827" s="26"/>
      <c r="E827" s="25"/>
      <c r="F827" s="27"/>
      <c r="G827" s="28"/>
      <c r="H827" s="28"/>
      <c r="I827" s="29" t="str">
        <f t="shared" si="36"/>
        <v/>
      </c>
      <c r="J827" s="30" t="str">
        <f t="shared" si="37"/>
        <v/>
      </c>
      <c r="K827" s="26"/>
      <c r="L827" s="24" t="str">
        <f>IF(N827="","",IF(N827="T","Título de capítulo",IF(OR(ISERROR(F827),ISERROR(G827),ISERROR(H827)),"Error en fórmula: pegá como valores",IF(AND(B827="",$C$6=""),"Falta sector",IF(M827="","Falta capítulo",IF(TRIM(E827)="","Falta unidad",IF(NOT((COUNTIF(Listas!$A$2:$A$40,E827)+COUNTIF(Listas!$D$2:$D$60,E827)&gt;0)),"Unidad no reconocida",IF(AND(F827&lt;&gt;"",NOT(ISNUMBER(F827))),"Cantidad no es número",IF(N(F827)&lt;=0,"Falta cantidad",IF(OR(AND(G827&lt;&gt;"",NOT(ISNUMBER(G827))),AND(H827&lt;&gt;"",NOT(ISNUMBER(H827)))),"Precio no es número",IF(N(G827)+N(H827)&lt;=0,"Falta precio","✓ OK")))))))))))</f>
        <v/>
      </c>
      <c r="M827" t="str">
        <f>IF(N827&lt;&gt;"W","",IF(TRIM(C827)&lt;&gt;"",TRIM(C827),IFERROR(LOOKUP(2,1/(N$9:N827="T"),D$9:D827),"")))</f>
        <v/>
      </c>
      <c r="N827" t="str">
        <f t="shared" si="38"/>
        <v/>
      </c>
      <c r="O827" t="str">
        <f>IF(M827="","",IF(COUNTIF(M$9:M827,M827)=1,MAX(O$8:O826)+1,""))</f>
        <v/>
      </c>
    </row>
    <row r="828" spans="1:15" x14ac:dyDescent="0.75">
      <c r="A828" s="24" t="str">
        <f>IF(N828="W",COUNTIF(N$9:N828,"W"),"")</f>
        <v/>
      </c>
      <c r="B828" s="25"/>
      <c r="C828" s="25"/>
      <c r="D828" s="26"/>
      <c r="E828" s="25"/>
      <c r="F828" s="27"/>
      <c r="G828" s="28"/>
      <c r="H828" s="28"/>
      <c r="I828" s="29" t="str">
        <f t="shared" si="36"/>
        <v/>
      </c>
      <c r="J828" s="30" t="str">
        <f t="shared" si="37"/>
        <v/>
      </c>
      <c r="K828" s="26"/>
      <c r="L828" s="24" t="str">
        <f>IF(N828="","",IF(N828="T","Título de capítulo",IF(OR(ISERROR(F828),ISERROR(G828),ISERROR(H828)),"Error en fórmula: pegá como valores",IF(AND(B828="",$C$6=""),"Falta sector",IF(M828="","Falta capítulo",IF(TRIM(E828)="","Falta unidad",IF(NOT((COUNTIF(Listas!$A$2:$A$40,E828)+COUNTIF(Listas!$D$2:$D$60,E828)&gt;0)),"Unidad no reconocida",IF(AND(F828&lt;&gt;"",NOT(ISNUMBER(F828))),"Cantidad no es número",IF(N(F828)&lt;=0,"Falta cantidad",IF(OR(AND(G828&lt;&gt;"",NOT(ISNUMBER(G828))),AND(H828&lt;&gt;"",NOT(ISNUMBER(H828)))),"Precio no es número",IF(N(G828)+N(H828)&lt;=0,"Falta precio","✓ OK")))))))))))</f>
        <v/>
      </c>
      <c r="M828" t="str">
        <f>IF(N828&lt;&gt;"W","",IF(TRIM(C828)&lt;&gt;"",TRIM(C828),IFERROR(LOOKUP(2,1/(N$9:N828="T"),D$9:D828),"")))</f>
        <v/>
      </c>
      <c r="N828" t="str">
        <f t="shared" si="38"/>
        <v/>
      </c>
      <c r="O828" t="str">
        <f>IF(M828="","",IF(COUNTIF(M$9:M828,M828)=1,MAX(O$8:O827)+1,""))</f>
        <v/>
      </c>
    </row>
    <row r="829" spans="1:15" x14ac:dyDescent="0.75">
      <c r="A829" s="24" t="str">
        <f>IF(N829="W",COUNTIF(N$9:N829,"W"),"")</f>
        <v/>
      </c>
      <c r="B829" s="25"/>
      <c r="C829" s="25"/>
      <c r="D829" s="26"/>
      <c r="E829" s="25"/>
      <c r="F829" s="27"/>
      <c r="G829" s="28"/>
      <c r="H829" s="28"/>
      <c r="I829" s="29" t="str">
        <f t="shared" si="36"/>
        <v/>
      </c>
      <c r="J829" s="30" t="str">
        <f t="shared" si="37"/>
        <v/>
      </c>
      <c r="K829" s="26"/>
      <c r="L829" s="24" t="str">
        <f>IF(N829="","",IF(N829="T","Título de capítulo",IF(OR(ISERROR(F829),ISERROR(G829),ISERROR(H829)),"Error en fórmula: pegá como valores",IF(AND(B829="",$C$6=""),"Falta sector",IF(M829="","Falta capítulo",IF(TRIM(E829)="","Falta unidad",IF(NOT((COUNTIF(Listas!$A$2:$A$40,E829)+COUNTIF(Listas!$D$2:$D$60,E829)&gt;0)),"Unidad no reconocida",IF(AND(F829&lt;&gt;"",NOT(ISNUMBER(F829))),"Cantidad no es número",IF(N(F829)&lt;=0,"Falta cantidad",IF(OR(AND(G829&lt;&gt;"",NOT(ISNUMBER(G829))),AND(H829&lt;&gt;"",NOT(ISNUMBER(H829)))),"Precio no es número",IF(N(G829)+N(H829)&lt;=0,"Falta precio","✓ OK")))))))))))</f>
        <v/>
      </c>
      <c r="M829" t="str">
        <f>IF(N829&lt;&gt;"W","",IF(TRIM(C829)&lt;&gt;"",TRIM(C829),IFERROR(LOOKUP(2,1/(N$9:N829="T"),D$9:D829),"")))</f>
        <v/>
      </c>
      <c r="N829" t="str">
        <f t="shared" si="38"/>
        <v/>
      </c>
      <c r="O829" t="str">
        <f>IF(M829="","",IF(COUNTIF(M$9:M829,M829)=1,MAX(O$8:O828)+1,""))</f>
        <v/>
      </c>
    </row>
    <row r="830" spans="1:15" x14ac:dyDescent="0.75">
      <c r="A830" s="24" t="str">
        <f>IF(N830="W",COUNTIF(N$9:N830,"W"),"")</f>
        <v/>
      </c>
      <c r="B830" s="25"/>
      <c r="C830" s="25"/>
      <c r="D830" s="26"/>
      <c r="E830" s="25"/>
      <c r="F830" s="27"/>
      <c r="G830" s="28"/>
      <c r="H830" s="28"/>
      <c r="I830" s="29" t="str">
        <f t="shared" si="36"/>
        <v/>
      </c>
      <c r="J830" s="30" t="str">
        <f t="shared" si="37"/>
        <v/>
      </c>
      <c r="K830" s="26"/>
      <c r="L830" s="24" t="str">
        <f>IF(N830="","",IF(N830="T","Título de capítulo",IF(OR(ISERROR(F830),ISERROR(G830),ISERROR(H830)),"Error en fórmula: pegá como valores",IF(AND(B830="",$C$6=""),"Falta sector",IF(M830="","Falta capítulo",IF(TRIM(E830)="","Falta unidad",IF(NOT((COUNTIF(Listas!$A$2:$A$40,E830)+COUNTIF(Listas!$D$2:$D$60,E830)&gt;0)),"Unidad no reconocida",IF(AND(F830&lt;&gt;"",NOT(ISNUMBER(F830))),"Cantidad no es número",IF(N(F830)&lt;=0,"Falta cantidad",IF(OR(AND(G830&lt;&gt;"",NOT(ISNUMBER(G830))),AND(H830&lt;&gt;"",NOT(ISNUMBER(H830)))),"Precio no es número",IF(N(G830)+N(H830)&lt;=0,"Falta precio","✓ OK")))))))))))</f>
        <v/>
      </c>
      <c r="M830" t="str">
        <f>IF(N830&lt;&gt;"W","",IF(TRIM(C830)&lt;&gt;"",TRIM(C830),IFERROR(LOOKUP(2,1/(N$9:N830="T"),D$9:D830),"")))</f>
        <v/>
      </c>
      <c r="N830" t="str">
        <f t="shared" si="38"/>
        <v/>
      </c>
      <c r="O830" t="str">
        <f>IF(M830="","",IF(COUNTIF(M$9:M830,M830)=1,MAX(O$8:O829)+1,""))</f>
        <v/>
      </c>
    </row>
    <row r="831" spans="1:15" x14ac:dyDescent="0.75">
      <c r="A831" s="24" t="str">
        <f>IF(N831="W",COUNTIF(N$9:N831,"W"),"")</f>
        <v/>
      </c>
      <c r="B831" s="25"/>
      <c r="C831" s="25"/>
      <c r="D831" s="26"/>
      <c r="E831" s="25"/>
      <c r="F831" s="27"/>
      <c r="G831" s="28"/>
      <c r="H831" s="28"/>
      <c r="I831" s="29" t="str">
        <f t="shared" si="36"/>
        <v/>
      </c>
      <c r="J831" s="30" t="str">
        <f t="shared" si="37"/>
        <v/>
      </c>
      <c r="K831" s="26"/>
      <c r="L831" s="24" t="str">
        <f>IF(N831="","",IF(N831="T","Título de capítulo",IF(OR(ISERROR(F831),ISERROR(G831),ISERROR(H831)),"Error en fórmula: pegá como valores",IF(AND(B831="",$C$6=""),"Falta sector",IF(M831="","Falta capítulo",IF(TRIM(E831)="","Falta unidad",IF(NOT((COUNTIF(Listas!$A$2:$A$40,E831)+COUNTIF(Listas!$D$2:$D$60,E831)&gt;0)),"Unidad no reconocida",IF(AND(F831&lt;&gt;"",NOT(ISNUMBER(F831))),"Cantidad no es número",IF(N(F831)&lt;=0,"Falta cantidad",IF(OR(AND(G831&lt;&gt;"",NOT(ISNUMBER(G831))),AND(H831&lt;&gt;"",NOT(ISNUMBER(H831)))),"Precio no es número",IF(N(G831)+N(H831)&lt;=0,"Falta precio","✓ OK")))))))))))</f>
        <v/>
      </c>
      <c r="M831" t="str">
        <f>IF(N831&lt;&gt;"W","",IF(TRIM(C831)&lt;&gt;"",TRIM(C831),IFERROR(LOOKUP(2,1/(N$9:N831="T"),D$9:D831),"")))</f>
        <v/>
      </c>
      <c r="N831" t="str">
        <f t="shared" si="38"/>
        <v/>
      </c>
      <c r="O831" t="str">
        <f>IF(M831="","",IF(COUNTIF(M$9:M831,M831)=1,MAX(O$8:O830)+1,""))</f>
        <v/>
      </c>
    </row>
    <row r="832" spans="1:15" x14ac:dyDescent="0.75">
      <c r="A832" s="24" t="str">
        <f>IF(N832="W",COUNTIF(N$9:N832,"W"),"")</f>
        <v/>
      </c>
      <c r="B832" s="25"/>
      <c r="C832" s="25"/>
      <c r="D832" s="26"/>
      <c r="E832" s="25"/>
      <c r="F832" s="27"/>
      <c r="G832" s="28"/>
      <c r="H832" s="28"/>
      <c r="I832" s="29" t="str">
        <f t="shared" si="36"/>
        <v/>
      </c>
      <c r="J832" s="30" t="str">
        <f t="shared" si="37"/>
        <v/>
      </c>
      <c r="K832" s="26"/>
      <c r="L832" s="24" t="str">
        <f>IF(N832="","",IF(N832="T","Título de capítulo",IF(OR(ISERROR(F832),ISERROR(G832),ISERROR(H832)),"Error en fórmula: pegá como valores",IF(AND(B832="",$C$6=""),"Falta sector",IF(M832="","Falta capítulo",IF(TRIM(E832)="","Falta unidad",IF(NOT((COUNTIF(Listas!$A$2:$A$40,E832)+COUNTIF(Listas!$D$2:$D$60,E832)&gt;0)),"Unidad no reconocida",IF(AND(F832&lt;&gt;"",NOT(ISNUMBER(F832))),"Cantidad no es número",IF(N(F832)&lt;=0,"Falta cantidad",IF(OR(AND(G832&lt;&gt;"",NOT(ISNUMBER(G832))),AND(H832&lt;&gt;"",NOT(ISNUMBER(H832)))),"Precio no es número",IF(N(G832)+N(H832)&lt;=0,"Falta precio","✓ OK")))))))))))</f>
        <v/>
      </c>
      <c r="M832" t="str">
        <f>IF(N832&lt;&gt;"W","",IF(TRIM(C832)&lt;&gt;"",TRIM(C832),IFERROR(LOOKUP(2,1/(N$9:N832="T"),D$9:D832),"")))</f>
        <v/>
      </c>
      <c r="N832" t="str">
        <f t="shared" si="38"/>
        <v/>
      </c>
      <c r="O832" t="str">
        <f>IF(M832="","",IF(COUNTIF(M$9:M832,M832)=1,MAX(O$8:O831)+1,""))</f>
        <v/>
      </c>
    </row>
    <row r="833" spans="1:15" x14ac:dyDescent="0.75">
      <c r="A833" s="24" t="str">
        <f>IF(N833="W",COUNTIF(N$9:N833,"W"),"")</f>
        <v/>
      </c>
      <c r="B833" s="25"/>
      <c r="C833" s="25"/>
      <c r="D833" s="26"/>
      <c r="E833" s="25"/>
      <c r="F833" s="27"/>
      <c r="G833" s="28"/>
      <c r="H833" s="28"/>
      <c r="I833" s="29" t="str">
        <f t="shared" si="36"/>
        <v/>
      </c>
      <c r="J833" s="30" t="str">
        <f t="shared" si="37"/>
        <v/>
      </c>
      <c r="K833" s="26"/>
      <c r="L833" s="24" t="str">
        <f>IF(N833="","",IF(N833="T","Título de capítulo",IF(OR(ISERROR(F833),ISERROR(G833),ISERROR(H833)),"Error en fórmula: pegá como valores",IF(AND(B833="",$C$6=""),"Falta sector",IF(M833="","Falta capítulo",IF(TRIM(E833)="","Falta unidad",IF(NOT((COUNTIF(Listas!$A$2:$A$40,E833)+COUNTIF(Listas!$D$2:$D$60,E833)&gt;0)),"Unidad no reconocida",IF(AND(F833&lt;&gt;"",NOT(ISNUMBER(F833))),"Cantidad no es número",IF(N(F833)&lt;=0,"Falta cantidad",IF(OR(AND(G833&lt;&gt;"",NOT(ISNUMBER(G833))),AND(H833&lt;&gt;"",NOT(ISNUMBER(H833)))),"Precio no es número",IF(N(G833)+N(H833)&lt;=0,"Falta precio","✓ OK")))))))))))</f>
        <v/>
      </c>
      <c r="M833" t="str">
        <f>IF(N833&lt;&gt;"W","",IF(TRIM(C833)&lt;&gt;"",TRIM(C833),IFERROR(LOOKUP(2,1/(N$9:N833="T"),D$9:D833),"")))</f>
        <v/>
      </c>
      <c r="N833" t="str">
        <f t="shared" si="38"/>
        <v/>
      </c>
      <c r="O833" t="str">
        <f>IF(M833="","",IF(COUNTIF(M$9:M833,M833)=1,MAX(O$8:O832)+1,""))</f>
        <v/>
      </c>
    </row>
    <row r="834" spans="1:15" x14ac:dyDescent="0.75">
      <c r="A834" s="24" t="str">
        <f>IF(N834="W",COUNTIF(N$9:N834,"W"),"")</f>
        <v/>
      </c>
      <c r="B834" s="25"/>
      <c r="C834" s="25"/>
      <c r="D834" s="26"/>
      <c r="E834" s="25"/>
      <c r="F834" s="27"/>
      <c r="G834" s="28"/>
      <c r="H834" s="28"/>
      <c r="I834" s="29" t="str">
        <f t="shared" si="36"/>
        <v/>
      </c>
      <c r="J834" s="30" t="str">
        <f t="shared" si="37"/>
        <v/>
      </c>
      <c r="K834" s="26"/>
      <c r="L834" s="24" t="str">
        <f>IF(N834="","",IF(N834="T","Título de capítulo",IF(OR(ISERROR(F834),ISERROR(G834),ISERROR(H834)),"Error en fórmula: pegá como valores",IF(AND(B834="",$C$6=""),"Falta sector",IF(M834="","Falta capítulo",IF(TRIM(E834)="","Falta unidad",IF(NOT((COUNTIF(Listas!$A$2:$A$40,E834)+COUNTIF(Listas!$D$2:$D$60,E834)&gt;0)),"Unidad no reconocida",IF(AND(F834&lt;&gt;"",NOT(ISNUMBER(F834))),"Cantidad no es número",IF(N(F834)&lt;=0,"Falta cantidad",IF(OR(AND(G834&lt;&gt;"",NOT(ISNUMBER(G834))),AND(H834&lt;&gt;"",NOT(ISNUMBER(H834)))),"Precio no es número",IF(N(G834)+N(H834)&lt;=0,"Falta precio","✓ OK")))))))))))</f>
        <v/>
      </c>
      <c r="M834" t="str">
        <f>IF(N834&lt;&gt;"W","",IF(TRIM(C834)&lt;&gt;"",TRIM(C834),IFERROR(LOOKUP(2,1/(N$9:N834="T"),D$9:D834),"")))</f>
        <v/>
      </c>
      <c r="N834" t="str">
        <f t="shared" si="38"/>
        <v/>
      </c>
      <c r="O834" t="str">
        <f>IF(M834="","",IF(COUNTIF(M$9:M834,M834)=1,MAX(O$8:O833)+1,""))</f>
        <v/>
      </c>
    </row>
    <row r="835" spans="1:15" x14ac:dyDescent="0.75">
      <c r="A835" s="24" t="str">
        <f>IF(N835="W",COUNTIF(N$9:N835,"W"),"")</f>
        <v/>
      </c>
      <c r="B835" s="25"/>
      <c r="C835" s="25"/>
      <c r="D835" s="26"/>
      <c r="E835" s="25"/>
      <c r="F835" s="27"/>
      <c r="G835" s="28"/>
      <c r="H835" s="28"/>
      <c r="I835" s="29" t="str">
        <f t="shared" si="36"/>
        <v/>
      </c>
      <c r="J835" s="30" t="str">
        <f t="shared" si="37"/>
        <v/>
      </c>
      <c r="K835" s="26"/>
      <c r="L835" s="24" t="str">
        <f>IF(N835="","",IF(N835="T","Título de capítulo",IF(OR(ISERROR(F835),ISERROR(G835),ISERROR(H835)),"Error en fórmula: pegá como valores",IF(AND(B835="",$C$6=""),"Falta sector",IF(M835="","Falta capítulo",IF(TRIM(E835)="","Falta unidad",IF(NOT((COUNTIF(Listas!$A$2:$A$40,E835)+COUNTIF(Listas!$D$2:$D$60,E835)&gt;0)),"Unidad no reconocida",IF(AND(F835&lt;&gt;"",NOT(ISNUMBER(F835))),"Cantidad no es número",IF(N(F835)&lt;=0,"Falta cantidad",IF(OR(AND(G835&lt;&gt;"",NOT(ISNUMBER(G835))),AND(H835&lt;&gt;"",NOT(ISNUMBER(H835)))),"Precio no es número",IF(N(G835)+N(H835)&lt;=0,"Falta precio","✓ OK")))))))))))</f>
        <v/>
      </c>
      <c r="M835" t="str">
        <f>IF(N835&lt;&gt;"W","",IF(TRIM(C835)&lt;&gt;"",TRIM(C835),IFERROR(LOOKUP(2,1/(N$9:N835="T"),D$9:D835),"")))</f>
        <v/>
      </c>
      <c r="N835" t="str">
        <f t="shared" si="38"/>
        <v/>
      </c>
      <c r="O835" t="str">
        <f>IF(M835="","",IF(COUNTIF(M$9:M835,M835)=1,MAX(O$8:O834)+1,""))</f>
        <v/>
      </c>
    </row>
    <row r="836" spans="1:15" x14ac:dyDescent="0.75">
      <c r="A836" s="24" t="str">
        <f>IF(N836="W",COUNTIF(N$9:N836,"W"),"")</f>
        <v/>
      </c>
      <c r="B836" s="25"/>
      <c r="C836" s="25"/>
      <c r="D836" s="26"/>
      <c r="E836" s="25"/>
      <c r="F836" s="27"/>
      <c r="G836" s="28"/>
      <c r="H836" s="28"/>
      <c r="I836" s="29" t="str">
        <f t="shared" si="36"/>
        <v/>
      </c>
      <c r="J836" s="30" t="str">
        <f t="shared" si="37"/>
        <v/>
      </c>
      <c r="K836" s="26"/>
      <c r="L836" s="24" t="str">
        <f>IF(N836="","",IF(N836="T","Título de capítulo",IF(OR(ISERROR(F836),ISERROR(G836),ISERROR(H836)),"Error en fórmula: pegá como valores",IF(AND(B836="",$C$6=""),"Falta sector",IF(M836="","Falta capítulo",IF(TRIM(E836)="","Falta unidad",IF(NOT((COUNTIF(Listas!$A$2:$A$40,E836)+COUNTIF(Listas!$D$2:$D$60,E836)&gt;0)),"Unidad no reconocida",IF(AND(F836&lt;&gt;"",NOT(ISNUMBER(F836))),"Cantidad no es número",IF(N(F836)&lt;=0,"Falta cantidad",IF(OR(AND(G836&lt;&gt;"",NOT(ISNUMBER(G836))),AND(H836&lt;&gt;"",NOT(ISNUMBER(H836)))),"Precio no es número",IF(N(G836)+N(H836)&lt;=0,"Falta precio","✓ OK")))))))))))</f>
        <v/>
      </c>
      <c r="M836" t="str">
        <f>IF(N836&lt;&gt;"W","",IF(TRIM(C836)&lt;&gt;"",TRIM(C836),IFERROR(LOOKUP(2,1/(N$9:N836="T"),D$9:D836),"")))</f>
        <v/>
      </c>
      <c r="N836" t="str">
        <f t="shared" si="38"/>
        <v/>
      </c>
      <c r="O836" t="str">
        <f>IF(M836="","",IF(COUNTIF(M$9:M836,M836)=1,MAX(O$8:O835)+1,""))</f>
        <v/>
      </c>
    </row>
    <row r="837" spans="1:15" x14ac:dyDescent="0.75">
      <c r="A837" s="24" t="str">
        <f>IF(N837="W",COUNTIF(N$9:N837,"W"),"")</f>
        <v/>
      </c>
      <c r="B837" s="25"/>
      <c r="C837" s="25"/>
      <c r="D837" s="26"/>
      <c r="E837" s="25"/>
      <c r="F837" s="27"/>
      <c r="G837" s="28"/>
      <c r="H837" s="28"/>
      <c r="I837" s="29" t="str">
        <f t="shared" si="36"/>
        <v/>
      </c>
      <c r="J837" s="30" t="str">
        <f t="shared" si="37"/>
        <v/>
      </c>
      <c r="K837" s="26"/>
      <c r="L837" s="24" t="str">
        <f>IF(N837="","",IF(N837="T","Título de capítulo",IF(OR(ISERROR(F837),ISERROR(G837),ISERROR(H837)),"Error en fórmula: pegá como valores",IF(AND(B837="",$C$6=""),"Falta sector",IF(M837="","Falta capítulo",IF(TRIM(E837)="","Falta unidad",IF(NOT((COUNTIF(Listas!$A$2:$A$40,E837)+COUNTIF(Listas!$D$2:$D$60,E837)&gt;0)),"Unidad no reconocida",IF(AND(F837&lt;&gt;"",NOT(ISNUMBER(F837))),"Cantidad no es número",IF(N(F837)&lt;=0,"Falta cantidad",IF(OR(AND(G837&lt;&gt;"",NOT(ISNUMBER(G837))),AND(H837&lt;&gt;"",NOT(ISNUMBER(H837)))),"Precio no es número",IF(N(G837)+N(H837)&lt;=0,"Falta precio","✓ OK")))))))))))</f>
        <v/>
      </c>
      <c r="M837" t="str">
        <f>IF(N837&lt;&gt;"W","",IF(TRIM(C837)&lt;&gt;"",TRIM(C837),IFERROR(LOOKUP(2,1/(N$9:N837="T"),D$9:D837),"")))</f>
        <v/>
      </c>
      <c r="N837" t="str">
        <f t="shared" si="38"/>
        <v/>
      </c>
      <c r="O837" t="str">
        <f>IF(M837="","",IF(COUNTIF(M$9:M837,M837)=1,MAX(O$8:O836)+1,""))</f>
        <v/>
      </c>
    </row>
    <row r="838" spans="1:15" x14ac:dyDescent="0.75">
      <c r="A838" s="24" t="str">
        <f>IF(N838="W",COUNTIF(N$9:N838,"W"),"")</f>
        <v/>
      </c>
      <c r="B838" s="25"/>
      <c r="C838" s="25"/>
      <c r="D838" s="26"/>
      <c r="E838" s="25"/>
      <c r="F838" s="27"/>
      <c r="G838" s="28"/>
      <c r="H838" s="28"/>
      <c r="I838" s="29" t="str">
        <f t="shared" si="36"/>
        <v/>
      </c>
      <c r="J838" s="30" t="str">
        <f t="shared" si="37"/>
        <v/>
      </c>
      <c r="K838" s="26"/>
      <c r="L838" s="24" t="str">
        <f>IF(N838="","",IF(N838="T","Título de capítulo",IF(OR(ISERROR(F838),ISERROR(G838),ISERROR(H838)),"Error en fórmula: pegá como valores",IF(AND(B838="",$C$6=""),"Falta sector",IF(M838="","Falta capítulo",IF(TRIM(E838)="","Falta unidad",IF(NOT((COUNTIF(Listas!$A$2:$A$40,E838)+COUNTIF(Listas!$D$2:$D$60,E838)&gt;0)),"Unidad no reconocida",IF(AND(F838&lt;&gt;"",NOT(ISNUMBER(F838))),"Cantidad no es número",IF(N(F838)&lt;=0,"Falta cantidad",IF(OR(AND(G838&lt;&gt;"",NOT(ISNUMBER(G838))),AND(H838&lt;&gt;"",NOT(ISNUMBER(H838)))),"Precio no es número",IF(N(G838)+N(H838)&lt;=0,"Falta precio","✓ OK")))))))))))</f>
        <v/>
      </c>
      <c r="M838" t="str">
        <f>IF(N838&lt;&gt;"W","",IF(TRIM(C838)&lt;&gt;"",TRIM(C838),IFERROR(LOOKUP(2,1/(N$9:N838="T"),D$9:D838),"")))</f>
        <v/>
      </c>
      <c r="N838" t="str">
        <f t="shared" si="38"/>
        <v/>
      </c>
      <c r="O838" t="str">
        <f>IF(M838="","",IF(COUNTIF(M$9:M838,M838)=1,MAX(O$8:O837)+1,""))</f>
        <v/>
      </c>
    </row>
    <row r="839" spans="1:15" x14ac:dyDescent="0.75">
      <c r="A839" s="24" t="str">
        <f>IF(N839="W",COUNTIF(N$9:N839,"W"),"")</f>
        <v/>
      </c>
      <c r="B839" s="25"/>
      <c r="C839" s="25"/>
      <c r="D839" s="26"/>
      <c r="E839" s="25"/>
      <c r="F839" s="27"/>
      <c r="G839" s="28"/>
      <c r="H839" s="28"/>
      <c r="I839" s="29" t="str">
        <f t="shared" si="36"/>
        <v/>
      </c>
      <c r="J839" s="30" t="str">
        <f t="shared" si="37"/>
        <v/>
      </c>
      <c r="K839" s="26"/>
      <c r="L839" s="24" t="str">
        <f>IF(N839="","",IF(N839="T","Título de capítulo",IF(OR(ISERROR(F839),ISERROR(G839),ISERROR(H839)),"Error en fórmula: pegá como valores",IF(AND(B839="",$C$6=""),"Falta sector",IF(M839="","Falta capítulo",IF(TRIM(E839)="","Falta unidad",IF(NOT((COUNTIF(Listas!$A$2:$A$40,E839)+COUNTIF(Listas!$D$2:$D$60,E839)&gt;0)),"Unidad no reconocida",IF(AND(F839&lt;&gt;"",NOT(ISNUMBER(F839))),"Cantidad no es número",IF(N(F839)&lt;=0,"Falta cantidad",IF(OR(AND(G839&lt;&gt;"",NOT(ISNUMBER(G839))),AND(H839&lt;&gt;"",NOT(ISNUMBER(H839)))),"Precio no es número",IF(N(G839)+N(H839)&lt;=0,"Falta precio","✓ OK")))))))))))</f>
        <v/>
      </c>
      <c r="M839" t="str">
        <f>IF(N839&lt;&gt;"W","",IF(TRIM(C839)&lt;&gt;"",TRIM(C839),IFERROR(LOOKUP(2,1/(N$9:N839="T"),D$9:D839),"")))</f>
        <v/>
      </c>
      <c r="N839" t="str">
        <f t="shared" si="38"/>
        <v/>
      </c>
      <c r="O839" t="str">
        <f>IF(M839="","",IF(COUNTIF(M$9:M839,M839)=1,MAX(O$8:O838)+1,""))</f>
        <v/>
      </c>
    </row>
    <row r="840" spans="1:15" x14ac:dyDescent="0.75">
      <c r="A840" s="24" t="str">
        <f>IF(N840="W",COUNTIF(N$9:N840,"W"),"")</f>
        <v/>
      </c>
      <c r="B840" s="25"/>
      <c r="C840" s="25"/>
      <c r="D840" s="26"/>
      <c r="E840" s="25"/>
      <c r="F840" s="27"/>
      <c r="G840" s="28"/>
      <c r="H840" s="28"/>
      <c r="I840" s="29" t="str">
        <f t="shared" si="36"/>
        <v/>
      </c>
      <c r="J840" s="30" t="str">
        <f t="shared" si="37"/>
        <v/>
      </c>
      <c r="K840" s="26"/>
      <c r="L840" s="24" t="str">
        <f>IF(N840="","",IF(N840="T","Título de capítulo",IF(OR(ISERROR(F840),ISERROR(G840),ISERROR(H840)),"Error en fórmula: pegá como valores",IF(AND(B840="",$C$6=""),"Falta sector",IF(M840="","Falta capítulo",IF(TRIM(E840)="","Falta unidad",IF(NOT((COUNTIF(Listas!$A$2:$A$40,E840)+COUNTIF(Listas!$D$2:$D$60,E840)&gt;0)),"Unidad no reconocida",IF(AND(F840&lt;&gt;"",NOT(ISNUMBER(F840))),"Cantidad no es número",IF(N(F840)&lt;=0,"Falta cantidad",IF(OR(AND(G840&lt;&gt;"",NOT(ISNUMBER(G840))),AND(H840&lt;&gt;"",NOT(ISNUMBER(H840)))),"Precio no es número",IF(N(G840)+N(H840)&lt;=0,"Falta precio","✓ OK")))))))))))</f>
        <v/>
      </c>
      <c r="M840" t="str">
        <f>IF(N840&lt;&gt;"W","",IF(TRIM(C840)&lt;&gt;"",TRIM(C840),IFERROR(LOOKUP(2,1/(N$9:N840="T"),D$9:D840),"")))</f>
        <v/>
      </c>
      <c r="N840" t="str">
        <f t="shared" si="38"/>
        <v/>
      </c>
      <c r="O840" t="str">
        <f>IF(M840="","",IF(COUNTIF(M$9:M840,M840)=1,MAX(O$8:O839)+1,""))</f>
        <v/>
      </c>
    </row>
    <row r="841" spans="1:15" x14ac:dyDescent="0.75">
      <c r="A841" s="24" t="str">
        <f>IF(N841="W",COUNTIF(N$9:N841,"W"),"")</f>
        <v/>
      </c>
      <c r="B841" s="25"/>
      <c r="C841" s="25"/>
      <c r="D841" s="26"/>
      <c r="E841" s="25"/>
      <c r="F841" s="27"/>
      <c r="G841" s="28"/>
      <c r="H841" s="28"/>
      <c r="I841" s="29" t="str">
        <f t="shared" ref="I841:I904" si="39">IF(N841="W",IFERROR(N(G841)+N(H841),0),"")</f>
        <v/>
      </c>
      <c r="J841" s="30" t="str">
        <f t="shared" ref="J841:J904" si="40">IF(N841="W",IFERROR(N(F841)*I841,0),"")</f>
        <v/>
      </c>
      <c r="K841" s="26"/>
      <c r="L841" s="24" t="str">
        <f>IF(N841="","",IF(N841="T","Título de capítulo",IF(OR(ISERROR(F841),ISERROR(G841),ISERROR(H841)),"Error en fórmula: pegá como valores",IF(AND(B841="",$C$6=""),"Falta sector",IF(M841="","Falta capítulo",IF(TRIM(E841)="","Falta unidad",IF(NOT((COUNTIF(Listas!$A$2:$A$40,E841)+COUNTIF(Listas!$D$2:$D$60,E841)&gt;0)),"Unidad no reconocida",IF(AND(F841&lt;&gt;"",NOT(ISNUMBER(F841))),"Cantidad no es número",IF(N(F841)&lt;=0,"Falta cantidad",IF(OR(AND(G841&lt;&gt;"",NOT(ISNUMBER(G841))),AND(H841&lt;&gt;"",NOT(ISNUMBER(H841)))),"Precio no es número",IF(N(G841)+N(H841)&lt;=0,"Falta precio","✓ OK")))))))))))</f>
        <v/>
      </c>
      <c r="M841" t="str">
        <f>IF(N841&lt;&gt;"W","",IF(TRIM(C841)&lt;&gt;"",TRIM(C841),IFERROR(LOOKUP(2,1/(N$9:N841="T"),D$9:D841),"")))</f>
        <v/>
      </c>
      <c r="N841" t="str">
        <f t="shared" ref="N841:N904" si="41">IF(TRIM(D841)="","",IF(AND(TRIM(E841)="",IFERROR(N(F841),1)=0,IFERROR(N(G841)+N(H841),1)=0),"T","W"))</f>
        <v/>
      </c>
      <c r="O841" t="str">
        <f>IF(M841="","",IF(COUNTIF(M$9:M841,M841)=1,MAX(O$8:O840)+1,""))</f>
        <v/>
      </c>
    </row>
    <row r="842" spans="1:15" x14ac:dyDescent="0.75">
      <c r="A842" s="24" t="str">
        <f>IF(N842="W",COUNTIF(N$9:N842,"W"),"")</f>
        <v/>
      </c>
      <c r="B842" s="25"/>
      <c r="C842" s="25"/>
      <c r="D842" s="26"/>
      <c r="E842" s="25"/>
      <c r="F842" s="27"/>
      <c r="G842" s="28"/>
      <c r="H842" s="28"/>
      <c r="I842" s="29" t="str">
        <f t="shared" si="39"/>
        <v/>
      </c>
      <c r="J842" s="30" t="str">
        <f t="shared" si="40"/>
        <v/>
      </c>
      <c r="K842" s="26"/>
      <c r="L842" s="24" t="str">
        <f>IF(N842="","",IF(N842="T","Título de capítulo",IF(OR(ISERROR(F842),ISERROR(G842),ISERROR(H842)),"Error en fórmula: pegá como valores",IF(AND(B842="",$C$6=""),"Falta sector",IF(M842="","Falta capítulo",IF(TRIM(E842)="","Falta unidad",IF(NOT((COUNTIF(Listas!$A$2:$A$40,E842)+COUNTIF(Listas!$D$2:$D$60,E842)&gt;0)),"Unidad no reconocida",IF(AND(F842&lt;&gt;"",NOT(ISNUMBER(F842))),"Cantidad no es número",IF(N(F842)&lt;=0,"Falta cantidad",IF(OR(AND(G842&lt;&gt;"",NOT(ISNUMBER(G842))),AND(H842&lt;&gt;"",NOT(ISNUMBER(H842)))),"Precio no es número",IF(N(G842)+N(H842)&lt;=0,"Falta precio","✓ OK")))))))))))</f>
        <v/>
      </c>
      <c r="M842" t="str">
        <f>IF(N842&lt;&gt;"W","",IF(TRIM(C842)&lt;&gt;"",TRIM(C842),IFERROR(LOOKUP(2,1/(N$9:N842="T"),D$9:D842),"")))</f>
        <v/>
      </c>
      <c r="N842" t="str">
        <f t="shared" si="41"/>
        <v/>
      </c>
      <c r="O842" t="str">
        <f>IF(M842="","",IF(COUNTIF(M$9:M842,M842)=1,MAX(O$8:O841)+1,""))</f>
        <v/>
      </c>
    </row>
    <row r="843" spans="1:15" x14ac:dyDescent="0.75">
      <c r="A843" s="24" t="str">
        <f>IF(N843="W",COUNTIF(N$9:N843,"W"),"")</f>
        <v/>
      </c>
      <c r="B843" s="25"/>
      <c r="C843" s="25"/>
      <c r="D843" s="26"/>
      <c r="E843" s="25"/>
      <c r="F843" s="27"/>
      <c r="G843" s="28"/>
      <c r="H843" s="28"/>
      <c r="I843" s="29" t="str">
        <f t="shared" si="39"/>
        <v/>
      </c>
      <c r="J843" s="30" t="str">
        <f t="shared" si="40"/>
        <v/>
      </c>
      <c r="K843" s="26"/>
      <c r="L843" s="24" t="str">
        <f>IF(N843="","",IF(N843="T","Título de capítulo",IF(OR(ISERROR(F843),ISERROR(G843),ISERROR(H843)),"Error en fórmula: pegá como valores",IF(AND(B843="",$C$6=""),"Falta sector",IF(M843="","Falta capítulo",IF(TRIM(E843)="","Falta unidad",IF(NOT((COUNTIF(Listas!$A$2:$A$40,E843)+COUNTIF(Listas!$D$2:$D$60,E843)&gt;0)),"Unidad no reconocida",IF(AND(F843&lt;&gt;"",NOT(ISNUMBER(F843))),"Cantidad no es número",IF(N(F843)&lt;=0,"Falta cantidad",IF(OR(AND(G843&lt;&gt;"",NOT(ISNUMBER(G843))),AND(H843&lt;&gt;"",NOT(ISNUMBER(H843)))),"Precio no es número",IF(N(G843)+N(H843)&lt;=0,"Falta precio","✓ OK")))))))))))</f>
        <v/>
      </c>
      <c r="M843" t="str">
        <f>IF(N843&lt;&gt;"W","",IF(TRIM(C843)&lt;&gt;"",TRIM(C843),IFERROR(LOOKUP(2,1/(N$9:N843="T"),D$9:D843),"")))</f>
        <v/>
      </c>
      <c r="N843" t="str">
        <f t="shared" si="41"/>
        <v/>
      </c>
      <c r="O843" t="str">
        <f>IF(M843="","",IF(COUNTIF(M$9:M843,M843)=1,MAX(O$8:O842)+1,""))</f>
        <v/>
      </c>
    </row>
    <row r="844" spans="1:15" x14ac:dyDescent="0.75">
      <c r="A844" s="24" t="str">
        <f>IF(N844="W",COUNTIF(N$9:N844,"W"),"")</f>
        <v/>
      </c>
      <c r="B844" s="25"/>
      <c r="C844" s="25"/>
      <c r="D844" s="26"/>
      <c r="E844" s="25"/>
      <c r="F844" s="27"/>
      <c r="G844" s="28"/>
      <c r="H844" s="28"/>
      <c r="I844" s="29" t="str">
        <f t="shared" si="39"/>
        <v/>
      </c>
      <c r="J844" s="30" t="str">
        <f t="shared" si="40"/>
        <v/>
      </c>
      <c r="K844" s="26"/>
      <c r="L844" s="24" t="str">
        <f>IF(N844="","",IF(N844="T","Título de capítulo",IF(OR(ISERROR(F844),ISERROR(G844),ISERROR(H844)),"Error en fórmula: pegá como valores",IF(AND(B844="",$C$6=""),"Falta sector",IF(M844="","Falta capítulo",IF(TRIM(E844)="","Falta unidad",IF(NOT((COUNTIF(Listas!$A$2:$A$40,E844)+COUNTIF(Listas!$D$2:$D$60,E844)&gt;0)),"Unidad no reconocida",IF(AND(F844&lt;&gt;"",NOT(ISNUMBER(F844))),"Cantidad no es número",IF(N(F844)&lt;=0,"Falta cantidad",IF(OR(AND(G844&lt;&gt;"",NOT(ISNUMBER(G844))),AND(H844&lt;&gt;"",NOT(ISNUMBER(H844)))),"Precio no es número",IF(N(G844)+N(H844)&lt;=0,"Falta precio","✓ OK")))))))))))</f>
        <v/>
      </c>
      <c r="M844" t="str">
        <f>IF(N844&lt;&gt;"W","",IF(TRIM(C844)&lt;&gt;"",TRIM(C844),IFERROR(LOOKUP(2,1/(N$9:N844="T"),D$9:D844),"")))</f>
        <v/>
      </c>
      <c r="N844" t="str">
        <f t="shared" si="41"/>
        <v/>
      </c>
      <c r="O844" t="str">
        <f>IF(M844="","",IF(COUNTIF(M$9:M844,M844)=1,MAX(O$8:O843)+1,""))</f>
        <v/>
      </c>
    </row>
    <row r="845" spans="1:15" x14ac:dyDescent="0.75">
      <c r="A845" s="24" t="str">
        <f>IF(N845="W",COUNTIF(N$9:N845,"W"),"")</f>
        <v/>
      </c>
      <c r="B845" s="25"/>
      <c r="C845" s="25"/>
      <c r="D845" s="26"/>
      <c r="E845" s="25"/>
      <c r="F845" s="27"/>
      <c r="G845" s="28"/>
      <c r="H845" s="28"/>
      <c r="I845" s="29" t="str">
        <f t="shared" si="39"/>
        <v/>
      </c>
      <c r="J845" s="30" t="str">
        <f t="shared" si="40"/>
        <v/>
      </c>
      <c r="K845" s="26"/>
      <c r="L845" s="24" t="str">
        <f>IF(N845="","",IF(N845="T","Título de capítulo",IF(OR(ISERROR(F845),ISERROR(G845),ISERROR(H845)),"Error en fórmula: pegá como valores",IF(AND(B845="",$C$6=""),"Falta sector",IF(M845="","Falta capítulo",IF(TRIM(E845)="","Falta unidad",IF(NOT((COUNTIF(Listas!$A$2:$A$40,E845)+COUNTIF(Listas!$D$2:$D$60,E845)&gt;0)),"Unidad no reconocida",IF(AND(F845&lt;&gt;"",NOT(ISNUMBER(F845))),"Cantidad no es número",IF(N(F845)&lt;=0,"Falta cantidad",IF(OR(AND(G845&lt;&gt;"",NOT(ISNUMBER(G845))),AND(H845&lt;&gt;"",NOT(ISNUMBER(H845)))),"Precio no es número",IF(N(G845)+N(H845)&lt;=0,"Falta precio","✓ OK")))))))))))</f>
        <v/>
      </c>
      <c r="M845" t="str">
        <f>IF(N845&lt;&gt;"W","",IF(TRIM(C845)&lt;&gt;"",TRIM(C845),IFERROR(LOOKUP(2,1/(N$9:N845="T"),D$9:D845),"")))</f>
        <v/>
      </c>
      <c r="N845" t="str">
        <f t="shared" si="41"/>
        <v/>
      </c>
      <c r="O845" t="str">
        <f>IF(M845="","",IF(COUNTIF(M$9:M845,M845)=1,MAX(O$8:O844)+1,""))</f>
        <v/>
      </c>
    </row>
    <row r="846" spans="1:15" x14ac:dyDescent="0.75">
      <c r="A846" s="24" t="str">
        <f>IF(N846="W",COUNTIF(N$9:N846,"W"),"")</f>
        <v/>
      </c>
      <c r="B846" s="25"/>
      <c r="C846" s="25"/>
      <c r="D846" s="26"/>
      <c r="E846" s="25"/>
      <c r="F846" s="27"/>
      <c r="G846" s="28"/>
      <c r="H846" s="28"/>
      <c r="I846" s="29" t="str">
        <f t="shared" si="39"/>
        <v/>
      </c>
      <c r="J846" s="30" t="str">
        <f t="shared" si="40"/>
        <v/>
      </c>
      <c r="K846" s="26"/>
      <c r="L846" s="24" t="str">
        <f>IF(N846="","",IF(N846="T","Título de capítulo",IF(OR(ISERROR(F846),ISERROR(G846),ISERROR(H846)),"Error en fórmula: pegá como valores",IF(AND(B846="",$C$6=""),"Falta sector",IF(M846="","Falta capítulo",IF(TRIM(E846)="","Falta unidad",IF(NOT((COUNTIF(Listas!$A$2:$A$40,E846)+COUNTIF(Listas!$D$2:$D$60,E846)&gt;0)),"Unidad no reconocida",IF(AND(F846&lt;&gt;"",NOT(ISNUMBER(F846))),"Cantidad no es número",IF(N(F846)&lt;=0,"Falta cantidad",IF(OR(AND(G846&lt;&gt;"",NOT(ISNUMBER(G846))),AND(H846&lt;&gt;"",NOT(ISNUMBER(H846)))),"Precio no es número",IF(N(G846)+N(H846)&lt;=0,"Falta precio","✓ OK")))))))))))</f>
        <v/>
      </c>
      <c r="M846" t="str">
        <f>IF(N846&lt;&gt;"W","",IF(TRIM(C846)&lt;&gt;"",TRIM(C846),IFERROR(LOOKUP(2,1/(N$9:N846="T"),D$9:D846),"")))</f>
        <v/>
      </c>
      <c r="N846" t="str">
        <f t="shared" si="41"/>
        <v/>
      </c>
      <c r="O846" t="str">
        <f>IF(M846="","",IF(COUNTIF(M$9:M846,M846)=1,MAX(O$8:O845)+1,""))</f>
        <v/>
      </c>
    </row>
    <row r="847" spans="1:15" x14ac:dyDescent="0.75">
      <c r="A847" s="24" t="str">
        <f>IF(N847="W",COUNTIF(N$9:N847,"W"),"")</f>
        <v/>
      </c>
      <c r="B847" s="25"/>
      <c r="C847" s="25"/>
      <c r="D847" s="26"/>
      <c r="E847" s="25"/>
      <c r="F847" s="27"/>
      <c r="G847" s="28"/>
      <c r="H847" s="28"/>
      <c r="I847" s="29" t="str">
        <f t="shared" si="39"/>
        <v/>
      </c>
      <c r="J847" s="30" t="str">
        <f t="shared" si="40"/>
        <v/>
      </c>
      <c r="K847" s="26"/>
      <c r="L847" s="24" t="str">
        <f>IF(N847="","",IF(N847="T","Título de capítulo",IF(OR(ISERROR(F847),ISERROR(G847),ISERROR(H847)),"Error en fórmula: pegá como valores",IF(AND(B847="",$C$6=""),"Falta sector",IF(M847="","Falta capítulo",IF(TRIM(E847)="","Falta unidad",IF(NOT((COUNTIF(Listas!$A$2:$A$40,E847)+COUNTIF(Listas!$D$2:$D$60,E847)&gt;0)),"Unidad no reconocida",IF(AND(F847&lt;&gt;"",NOT(ISNUMBER(F847))),"Cantidad no es número",IF(N(F847)&lt;=0,"Falta cantidad",IF(OR(AND(G847&lt;&gt;"",NOT(ISNUMBER(G847))),AND(H847&lt;&gt;"",NOT(ISNUMBER(H847)))),"Precio no es número",IF(N(G847)+N(H847)&lt;=0,"Falta precio","✓ OK")))))))))))</f>
        <v/>
      </c>
      <c r="M847" t="str">
        <f>IF(N847&lt;&gt;"W","",IF(TRIM(C847)&lt;&gt;"",TRIM(C847),IFERROR(LOOKUP(2,1/(N$9:N847="T"),D$9:D847),"")))</f>
        <v/>
      </c>
      <c r="N847" t="str">
        <f t="shared" si="41"/>
        <v/>
      </c>
      <c r="O847" t="str">
        <f>IF(M847="","",IF(COUNTIF(M$9:M847,M847)=1,MAX(O$8:O846)+1,""))</f>
        <v/>
      </c>
    </row>
    <row r="848" spans="1:15" x14ac:dyDescent="0.75">
      <c r="A848" s="24" t="str">
        <f>IF(N848="W",COUNTIF(N$9:N848,"W"),"")</f>
        <v/>
      </c>
      <c r="B848" s="25"/>
      <c r="C848" s="25"/>
      <c r="D848" s="26"/>
      <c r="E848" s="25"/>
      <c r="F848" s="27"/>
      <c r="G848" s="28"/>
      <c r="H848" s="28"/>
      <c r="I848" s="29" t="str">
        <f t="shared" si="39"/>
        <v/>
      </c>
      <c r="J848" s="30" t="str">
        <f t="shared" si="40"/>
        <v/>
      </c>
      <c r="K848" s="26"/>
      <c r="L848" s="24" t="str">
        <f>IF(N848="","",IF(N848="T","Título de capítulo",IF(OR(ISERROR(F848),ISERROR(G848),ISERROR(H848)),"Error en fórmula: pegá como valores",IF(AND(B848="",$C$6=""),"Falta sector",IF(M848="","Falta capítulo",IF(TRIM(E848)="","Falta unidad",IF(NOT((COUNTIF(Listas!$A$2:$A$40,E848)+COUNTIF(Listas!$D$2:$D$60,E848)&gt;0)),"Unidad no reconocida",IF(AND(F848&lt;&gt;"",NOT(ISNUMBER(F848))),"Cantidad no es número",IF(N(F848)&lt;=0,"Falta cantidad",IF(OR(AND(G848&lt;&gt;"",NOT(ISNUMBER(G848))),AND(H848&lt;&gt;"",NOT(ISNUMBER(H848)))),"Precio no es número",IF(N(G848)+N(H848)&lt;=0,"Falta precio","✓ OK")))))))))))</f>
        <v/>
      </c>
      <c r="M848" t="str">
        <f>IF(N848&lt;&gt;"W","",IF(TRIM(C848)&lt;&gt;"",TRIM(C848),IFERROR(LOOKUP(2,1/(N$9:N848="T"),D$9:D848),"")))</f>
        <v/>
      </c>
      <c r="N848" t="str">
        <f t="shared" si="41"/>
        <v/>
      </c>
      <c r="O848" t="str">
        <f>IF(M848="","",IF(COUNTIF(M$9:M848,M848)=1,MAX(O$8:O847)+1,""))</f>
        <v/>
      </c>
    </row>
    <row r="849" spans="1:15" x14ac:dyDescent="0.75">
      <c r="A849" s="24" t="str">
        <f>IF(N849="W",COUNTIF(N$9:N849,"W"),"")</f>
        <v/>
      </c>
      <c r="B849" s="25"/>
      <c r="C849" s="25"/>
      <c r="D849" s="26"/>
      <c r="E849" s="25"/>
      <c r="F849" s="27"/>
      <c r="G849" s="28"/>
      <c r="H849" s="28"/>
      <c r="I849" s="29" t="str">
        <f t="shared" si="39"/>
        <v/>
      </c>
      <c r="J849" s="30" t="str">
        <f t="shared" si="40"/>
        <v/>
      </c>
      <c r="K849" s="26"/>
      <c r="L849" s="24" t="str">
        <f>IF(N849="","",IF(N849="T","Título de capítulo",IF(OR(ISERROR(F849),ISERROR(G849),ISERROR(H849)),"Error en fórmula: pegá como valores",IF(AND(B849="",$C$6=""),"Falta sector",IF(M849="","Falta capítulo",IF(TRIM(E849)="","Falta unidad",IF(NOT((COUNTIF(Listas!$A$2:$A$40,E849)+COUNTIF(Listas!$D$2:$D$60,E849)&gt;0)),"Unidad no reconocida",IF(AND(F849&lt;&gt;"",NOT(ISNUMBER(F849))),"Cantidad no es número",IF(N(F849)&lt;=0,"Falta cantidad",IF(OR(AND(G849&lt;&gt;"",NOT(ISNUMBER(G849))),AND(H849&lt;&gt;"",NOT(ISNUMBER(H849)))),"Precio no es número",IF(N(G849)+N(H849)&lt;=0,"Falta precio","✓ OK")))))))))))</f>
        <v/>
      </c>
      <c r="M849" t="str">
        <f>IF(N849&lt;&gt;"W","",IF(TRIM(C849)&lt;&gt;"",TRIM(C849),IFERROR(LOOKUP(2,1/(N$9:N849="T"),D$9:D849),"")))</f>
        <v/>
      </c>
      <c r="N849" t="str">
        <f t="shared" si="41"/>
        <v/>
      </c>
      <c r="O849" t="str">
        <f>IF(M849="","",IF(COUNTIF(M$9:M849,M849)=1,MAX(O$8:O848)+1,""))</f>
        <v/>
      </c>
    </row>
    <row r="850" spans="1:15" x14ac:dyDescent="0.75">
      <c r="A850" s="24" t="str">
        <f>IF(N850="W",COUNTIF(N$9:N850,"W"),"")</f>
        <v/>
      </c>
      <c r="B850" s="25"/>
      <c r="C850" s="25"/>
      <c r="D850" s="26"/>
      <c r="E850" s="25"/>
      <c r="F850" s="27"/>
      <c r="G850" s="28"/>
      <c r="H850" s="28"/>
      <c r="I850" s="29" t="str">
        <f t="shared" si="39"/>
        <v/>
      </c>
      <c r="J850" s="30" t="str">
        <f t="shared" si="40"/>
        <v/>
      </c>
      <c r="K850" s="26"/>
      <c r="L850" s="24" t="str">
        <f>IF(N850="","",IF(N850="T","Título de capítulo",IF(OR(ISERROR(F850),ISERROR(G850),ISERROR(H850)),"Error en fórmula: pegá como valores",IF(AND(B850="",$C$6=""),"Falta sector",IF(M850="","Falta capítulo",IF(TRIM(E850)="","Falta unidad",IF(NOT((COUNTIF(Listas!$A$2:$A$40,E850)+COUNTIF(Listas!$D$2:$D$60,E850)&gt;0)),"Unidad no reconocida",IF(AND(F850&lt;&gt;"",NOT(ISNUMBER(F850))),"Cantidad no es número",IF(N(F850)&lt;=0,"Falta cantidad",IF(OR(AND(G850&lt;&gt;"",NOT(ISNUMBER(G850))),AND(H850&lt;&gt;"",NOT(ISNUMBER(H850)))),"Precio no es número",IF(N(G850)+N(H850)&lt;=0,"Falta precio","✓ OK")))))))))))</f>
        <v/>
      </c>
      <c r="M850" t="str">
        <f>IF(N850&lt;&gt;"W","",IF(TRIM(C850)&lt;&gt;"",TRIM(C850),IFERROR(LOOKUP(2,1/(N$9:N850="T"),D$9:D850),"")))</f>
        <v/>
      </c>
      <c r="N850" t="str">
        <f t="shared" si="41"/>
        <v/>
      </c>
      <c r="O850" t="str">
        <f>IF(M850="","",IF(COUNTIF(M$9:M850,M850)=1,MAX(O$8:O849)+1,""))</f>
        <v/>
      </c>
    </row>
    <row r="851" spans="1:15" x14ac:dyDescent="0.75">
      <c r="A851" s="24" t="str">
        <f>IF(N851="W",COUNTIF(N$9:N851,"W"),"")</f>
        <v/>
      </c>
      <c r="B851" s="25"/>
      <c r="C851" s="25"/>
      <c r="D851" s="26"/>
      <c r="E851" s="25"/>
      <c r="F851" s="27"/>
      <c r="G851" s="28"/>
      <c r="H851" s="28"/>
      <c r="I851" s="29" t="str">
        <f t="shared" si="39"/>
        <v/>
      </c>
      <c r="J851" s="30" t="str">
        <f t="shared" si="40"/>
        <v/>
      </c>
      <c r="K851" s="26"/>
      <c r="L851" s="24" t="str">
        <f>IF(N851="","",IF(N851="T","Título de capítulo",IF(OR(ISERROR(F851),ISERROR(G851),ISERROR(H851)),"Error en fórmula: pegá como valores",IF(AND(B851="",$C$6=""),"Falta sector",IF(M851="","Falta capítulo",IF(TRIM(E851)="","Falta unidad",IF(NOT((COUNTIF(Listas!$A$2:$A$40,E851)+COUNTIF(Listas!$D$2:$D$60,E851)&gt;0)),"Unidad no reconocida",IF(AND(F851&lt;&gt;"",NOT(ISNUMBER(F851))),"Cantidad no es número",IF(N(F851)&lt;=0,"Falta cantidad",IF(OR(AND(G851&lt;&gt;"",NOT(ISNUMBER(G851))),AND(H851&lt;&gt;"",NOT(ISNUMBER(H851)))),"Precio no es número",IF(N(G851)+N(H851)&lt;=0,"Falta precio","✓ OK")))))))))))</f>
        <v/>
      </c>
      <c r="M851" t="str">
        <f>IF(N851&lt;&gt;"W","",IF(TRIM(C851)&lt;&gt;"",TRIM(C851),IFERROR(LOOKUP(2,1/(N$9:N851="T"),D$9:D851),"")))</f>
        <v/>
      </c>
      <c r="N851" t="str">
        <f t="shared" si="41"/>
        <v/>
      </c>
      <c r="O851" t="str">
        <f>IF(M851="","",IF(COUNTIF(M$9:M851,M851)=1,MAX(O$8:O850)+1,""))</f>
        <v/>
      </c>
    </row>
    <row r="852" spans="1:15" x14ac:dyDescent="0.75">
      <c r="A852" s="24" t="str">
        <f>IF(N852="W",COUNTIF(N$9:N852,"W"),"")</f>
        <v/>
      </c>
      <c r="B852" s="25"/>
      <c r="C852" s="25"/>
      <c r="D852" s="26"/>
      <c r="E852" s="25"/>
      <c r="F852" s="27"/>
      <c r="G852" s="28"/>
      <c r="H852" s="28"/>
      <c r="I852" s="29" t="str">
        <f t="shared" si="39"/>
        <v/>
      </c>
      <c r="J852" s="30" t="str">
        <f t="shared" si="40"/>
        <v/>
      </c>
      <c r="K852" s="26"/>
      <c r="L852" s="24" t="str">
        <f>IF(N852="","",IF(N852="T","Título de capítulo",IF(OR(ISERROR(F852),ISERROR(G852),ISERROR(H852)),"Error en fórmula: pegá como valores",IF(AND(B852="",$C$6=""),"Falta sector",IF(M852="","Falta capítulo",IF(TRIM(E852)="","Falta unidad",IF(NOT((COUNTIF(Listas!$A$2:$A$40,E852)+COUNTIF(Listas!$D$2:$D$60,E852)&gt;0)),"Unidad no reconocida",IF(AND(F852&lt;&gt;"",NOT(ISNUMBER(F852))),"Cantidad no es número",IF(N(F852)&lt;=0,"Falta cantidad",IF(OR(AND(G852&lt;&gt;"",NOT(ISNUMBER(G852))),AND(H852&lt;&gt;"",NOT(ISNUMBER(H852)))),"Precio no es número",IF(N(G852)+N(H852)&lt;=0,"Falta precio","✓ OK")))))))))))</f>
        <v/>
      </c>
      <c r="M852" t="str">
        <f>IF(N852&lt;&gt;"W","",IF(TRIM(C852)&lt;&gt;"",TRIM(C852),IFERROR(LOOKUP(2,1/(N$9:N852="T"),D$9:D852),"")))</f>
        <v/>
      </c>
      <c r="N852" t="str">
        <f t="shared" si="41"/>
        <v/>
      </c>
      <c r="O852" t="str">
        <f>IF(M852="","",IF(COUNTIF(M$9:M852,M852)=1,MAX(O$8:O851)+1,""))</f>
        <v/>
      </c>
    </row>
    <row r="853" spans="1:15" x14ac:dyDescent="0.75">
      <c r="A853" s="24" t="str">
        <f>IF(N853="W",COUNTIF(N$9:N853,"W"),"")</f>
        <v/>
      </c>
      <c r="B853" s="25"/>
      <c r="C853" s="25"/>
      <c r="D853" s="26"/>
      <c r="E853" s="25"/>
      <c r="F853" s="27"/>
      <c r="G853" s="28"/>
      <c r="H853" s="28"/>
      <c r="I853" s="29" t="str">
        <f t="shared" si="39"/>
        <v/>
      </c>
      <c r="J853" s="30" t="str">
        <f t="shared" si="40"/>
        <v/>
      </c>
      <c r="K853" s="26"/>
      <c r="L853" s="24" t="str">
        <f>IF(N853="","",IF(N853="T","Título de capítulo",IF(OR(ISERROR(F853),ISERROR(G853),ISERROR(H853)),"Error en fórmula: pegá como valores",IF(AND(B853="",$C$6=""),"Falta sector",IF(M853="","Falta capítulo",IF(TRIM(E853)="","Falta unidad",IF(NOT((COUNTIF(Listas!$A$2:$A$40,E853)+COUNTIF(Listas!$D$2:$D$60,E853)&gt;0)),"Unidad no reconocida",IF(AND(F853&lt;&gt;"",NOT(ISNUMBER(F853))),"Cantidad no es número",IF(N(F853)&lt;=0,"Falta cantidad",IF(OR(AND(G853&lt;&gt;"",NOT(ISNUMBER(G853))),AND(H853&lt;&gt;"",NOT(ISNUMBER(H853)))),"Precio no es número",IF(N(G853)+N(H853)&lt;=0,"Falta precio","✓ OK")))))))))))</f>
        <v/>
      </c>
      <c r="M853" t="str">
        <f>IF(N853&lt;&gt;"W","",IF(TRIM(C853)&lt;&gt;"",TRIM(C853),IFERROR(LOOKUP(2,1/(N$9:N853="T"),D$9:D853),"")))</f>
        <v/>
      </c>
      <c r="N853" t="str">
        <f t="shared" si="41"/>
        <v/>
      </c>
      <c r="O853" t="str">
        <f>IF(M853="","",IF(COUNTIF(M$9:M853,M853)=1,MAX(O$8:O852)+1,""))</f>
        <v/>
      </c>
    </row>
    <row r="854" spans="1:15" x14ac:dyDescent="0.75">
      <c r="A854" s="24" t="str">
        <f>IF(N854="W",COUNTIF(N$9:N854,"W"),"")</f>
        <v/>
      </c>
      <c r="B854" s="25"/>
      <c r="C854" s="25"/>
      <c r="D854" s="26"/>
      <c r="E854" s="25"/>
      <c r="F854" s="27"/>
      <c r="G854" s="28"/>
      <c r="H854" s="28"/>
      <c r="I854" s="29" t="str">
        <f t="shared" si="39"/>
        <v/>
      </c>
      <c r="J854" s="30" t="str">
        <f t="shared" si="40"/>
        <v/>
      </c>
      <c r="K854" s="26"/>
      <c r="L854" s="24" t="str">
        <f>IF(N854="","",IF(N854="T","Título de capítulo",IF(OR(ISERROR(F854),ISERROR(G854),ISERROR(H854)),"Error en fórmula: pegá como valores",IF(AND(B854="",$C$6=""),"Falta sector",IF(M854="","Falta capítulo",IF(TRIM(E854)="","Falta unidad",IF(NOT((COUNTIF(Listas!$A$2:$A$40,E854)+COUNTIF(Listas!$D$2:$D$60,E854)&gt;0)),"Unidad no reconocida",IF(AND(F854&lt;&gt;"",NOT(ISNUMBER(F854))),"Cantidad no es número",IF(N(F854)&lt;=0,"Falta cantidad",IF(OR(AND(G854&lt;&gt;"",NOT(ISNUMBER(G854))),AND(H854&lt;&gt;"",NOT(ISNUMBER(H854)))),"Precio no es número",IF(N(G854)+N(H854)&lt;=0,"Falta precio","✓ OK")))))))))))</f>
        <v/>
      </c>
      <c r="M854" t="str">
        <f>IF(N854&lt;&gt;"W","",IF(TRIM(C854)&lt;&gt;"",TRIM(C854),IFERROR(LOOKUP(2,1/(N$9:N854="T"),D$9:D854),"")))</f>
        <v/>
      </c>
      <c r="N854" t="str">
        <f t="shared" si="41"/>
        <v/>
      </c>
      <c r="O854" t="str">
        <f>IF(M854="","",IF(COUNTIF(M$9:M854,M854)=1,MAX(O$8:O853)+1,""))</f>
        <v/>
      </c>
    </row>
    <row r="855" spans="1:15" x14ac:dyDescent="0.75">
      <c r="A855" s="24" t="str">
        <f>IF(N855="W",COUNTIF(N$9:N855,"W"),"")</f>
        <v/>
      </c>
      <c r="B855" s="25"/>
      <c r="C855" s="25"/>
      <c r="D855" s="26"/>
      <c r="E855" s="25"/>
      <c r="F855" s="27"/>
      <c r="G855" s="28"/>
      <c r="H855" s="28"/>
      <c r="I855" s="29" t="str">
        <f t="shared" si="39"/>
        <v/>
      </c>
      <c r="J855" s="30" t="str">
        <f t="shared" si="40"/>
        <v/>
      </c>
      <c r="K855" s="26"/>
      <c r="L855" s="24" t="str">
        <f>IF(N855="","",IF(N855="T","Título de capítulo",IF(OR(ISERROR(F855),ISERROR(G855),ISERROR(H855)),"Error en fórmula: pegá como valores",IF(AND(B855="",$C$6=""),"Falta sector",IF(M855="","Falta capítulo",IF(TRIM(E855)="","Falta unidad",IF(NOT((COUNTIF(Listas!$A$2:$A$40,E855)+COUNTIF(Listas!$D$2:$D$60,E855)&gt;0)),"Unidad no reconocida",IF(AND(F855&lt;&gt;"",NOT(ISNUMBER(F855))),"Cantidad no es número",IF(N(F855)&lt;=0,"Falta cantidad",IF(OR(AND(G855&lt;&gt;"",NOT(ISNUMBER(G855))),AND(H855&lt;&gt;"",NOT(ISNUMBER(H855)))),"Precio no es número",IF(N(G855)+N(H855)&lt;=0,"Falta precio","✓ OK")))))))))))</f>
        <v/>
      </c>
      <c r="M855" t="str">
        <f>IF(N855&lt;&gt;"W","",IF(TRIM(C855)&lt;&gt;"",TRIM(C855),IFERROR(LOOKUP(2,1/(N$9:N855="T"),D$9:D855),"")))</f>
        <v/>
      </c>
      <c r="N855" t="str">
        <f t="shared" si="41"/>
        <v/>
      </c>
      <c r="O855" t="str">
        <f>IF(M855="","",IF(COUNTIF(M$9:M855,M855)=1,MAX(O$8:O854)+1,""))</f>
        <v/>
      </c>
    </row>
    <row r="856" spans="1:15" x14ac:dyDescent="0.75">
      <c r="A856" s="24" t="str">
        <f>IF(N856="W",COUNTIF(N$9:N856,"W"),"")</f>
        <v/>
      </c>
      <c r="B856" s="25"/>
      <c r="C856" s="25"/>
      <c r="D856" s="26"/>
      <c r="E856" s="25"/>
      <c r="F856" s="27"/>
      <c r="G856" s="28"/>
      <c r="H856" s="28"/>
      <c r="I856" s="29" t="str">
        <f t="shared" si="39"/>
        <v/>
      </c>
      <c r="J856" s="30" t="str">
        <f t="shared" si="40"/>
        <v/>
      </c>
      <c r="K856" s="26"/>
      <c r="L856" s="24" t="str">
        <f>IF(N856="","",IF(N856="T","Título de capítulo",IF(OR(ISERROR(F856),ISERROR(G856),ISERROR(H856)),"Error en fórmula: pegá como valores",IF(AND(B856="",$C$6=""),"Falta sector",IF(M856="","Falta capítulo",IF(TRIM(E856)="","Falta unidad",IF(NOT((COUNTIF(Listas!$A$2:$A$40,E856)+COUNTIF(Listas!$D$2:$D$60,E856)&gt;0)),"Unidad no reconocida",IF(AND(F856&lt;&gt;"",NOT(ISNUMBER(F856))),"Cantidad no es número",IF(N(F856)&lt;=0,"Falta cantidad",IF(OR(AND(G856&lt;&gt;"",NOT(ISNUMBER(G856))),AND(H856&lt;&gt;"",NOT(ISNUMBER(H856)))),"Precio no es número",IF(N(G856)+N(H856)&lt;=0,"Falta precio","✓ OK")))))))))))</f>
        <v/>
      </c>
      <c r="M856" t="str">
        <f>IF(N856&lt;&gt;"W","",IF(TRIM(C856)&lt;&gt;"",TRIM(C856),IFERROR(LOOKUP(2,1/(N$9:N856="T"),D$9:D856),"")))</f>
        <v/>
      </c>
      <c r="N856" t="str">
        <f t="shared" si="41"/>
        <v/>
      </c>
      <c r="O856" t="str">
        <f>IF(M856="","",IF(COUNTIF(M$9:M856,M856)=1,MAX(O$8:O855)+1,""))</f>
        <v/>
      </c>
    </row>
    <row r="857" spans="1:15" x14ac:dyDescent="0.75">
      <c r="A857" s="24" t="str">
        <f>IF(N857="W",COUNTIF(N$9:N857,"W"),"")</f>
        <v/>
      </c>
      <c r="B857" s="25"/>
      <c r="C857" s="25"/>
      <c r="D857" s="26"/>
      <c r="E857" s="25"/>
      <c r="F857" s="27"/>
      <c r="G857" s="28"/>
      <c r="H857" s="28"/>
      <c r="I857" s="29" t="str">
        <f t="shared" si="39"/>
        <v/>
      </c>
      <c r="J857" s="30" t="str">
        <f t="shared" si="40"/>
        <v/>
      </c>
      <c r="K857" s="26"/>
      <c r="L857" s="24" t="str">
        <f>IF(N857="","",IF(N857="T","Título de capítulo",IF(OR(ISERROR(F857),ISERROR(G857),ISERROR(H857)),"Error en fórmula: pegá como valores",IF(AND(B857="",$C$6=""),"Falta sector",IF(M857="","Falta capítulo",IF(TRIM(E857)="","Falta unidad",IF(NOT((COUNTIF(Listas!$A$2:$A$40,E857)+COUNTIF(Listas!$D$2:$D$60,E857)&gt;0)),"Unidad no reconocida",IF(AND(F857&lt;&gt;"",NOT(ISNUMBER(F857))),"Cantidad no es número",IF(N(F857)&lt;=0,"Falta cantidad",IF(OR(AND(G857&lt;&gt;"",NOT(ISNUMBER(G857))),AND(H857&lt;&gt;"",NOT(ISNUMBER(H857)))),"Precio no es número",IF(N(G857)+N(H857)&lt;=0,"Falta precio","✓ OK")))))))))))</f>
        <v/>
      </c>
      <c r="M857" t="str">
        <f>IF(N857&lt;&gt;"W","",IF(TRIM(C857)&lt;&gt;"",TRIM(C857),IFERROR(LOOKUP(2,1/(N$9:N857="T"),D$9:D857),"")))</f>
        <v/>
      </c>
      <c r="N857" t="str">
        <f t="shared" si="41"/>
        <v/>
      </c>
      <c r="O857" t="str">
        <f>IF(M857="","",IF(COUNTIF(M$9:M857,M857)=1,MAX(O$8:O856)+1,""))</f>
        <v/>
      </c>
    </row>
    <row r="858" spans="1:15" x14ac:dyDescent="0.75">
      <c r="A858" s="24" t="str">
        <f>IF(N858="W",COUNTIF(N$9:N858,"W"),"")</f>
        <v/>
      </c>
      <c r="B858" s="25"/>
      <c r="C858" s="25"/>
      <c r="D858" s="26"/>
      <c r="E858" s="25"/>
      <c r="F858" s="27"/>
      <c r="G858" s="28"/>
      <c r="H858" s="28"/>
      <c r="I858" s="29" t="str">
        <f t="shared" si="39"/>
        <v/>
      </c>
      <c r="J858" s="30" t="str">
        <f t="shared" si="40"/>
        <v/>
      </c>
      <c r="K858" s="26"/>
      <c r="L858" s="24" t="str">
        <f>IF(N858="","",IF(N858="T","Título de capítulo",IF(OR(ISERROR(F858),ISERROR(G858),ISERROR(H858)),"Error en fórmula: pegá como valores",IF(AND(B858="",$C$6=""),"Falta sector",IF(M858="","Falta capítulo",IF(TRIM(E858)="","Falta unidad",IF(NOT((COUNTIF(Listas!$A$2:$A$40,E858)+COUNTIF(Listas!$D$2:$D$60,E858)&gt;0)),"Unidad no reconocida",IF(AND(F858&lt;&gt;"",NOT(ISNUMBER(F858))),"Cantidad no es número",IF(N(F858)&lt;=0,"Falta cantidad",IF(OR(AND(G858&lt;&gt;"",NOT(ISNUMBER(G858))),AND(H858&lt;&gt;"",NOT(ISNUMBER(H858)))),"Precio no es número",IF(N(G858)+N(H858)&lt;=0,"Falta precio","✓ OK")))))))))))</f>
        <v/>
      </c>
      <c r="M858" t="str">
        <f>IF(N858&lt;&gt;"W","",IF(TRIM(C858)&lt;&gt;"",TRIM(C858),IFERROR(LOOKUP(2,1/(N$9:N858="T"),D$9:D858),"")))</f>
        <v/>
      </c>
      <c r="N858" t="str">
        <f t="shared" si="41"/>
        <v/>
      </c>
      <c r="O858" t="str">
        <f>IF(M858="","",IF(COUNTIF(M$9:M858,M858)=1,MAX(O$8:O857)+1,""))</f>
        <v/>
      </c>
    </row>
    <row r="859" spans="1:15" x14ac:dyDescent="0.75">
      <c r="A859" s="24" t="str">
        <f>IF(N859="W",COUNTIF(N$9:N859,"W"),"")</f>
        <v/>
      </c>
      <c r="B859" s="25"/>
      <c r="C859" s="25"/>
      <c r="D859" s="26"/>
      <c r="E859" s="25"/>
      <c r="F859" s="27"/>
      <c r="G859" s="28"/>
      <c r="H859" s="28"/>
      <c r="I859" s="29" t="str">
        <f t="shared" si="39"/>
        <v/>
      </c>
      <c r="J859" s="30" t="str">
        <f t="shared" si="40"/>
        <v/>
      </c>
      <c r="K859" s="26"/>
      <c r="L859" s="24" t="str">
        <f>IF(N859="","",IF(N859="T","Título de capítulo",IF(OR(ISERROR(F859),ISERROR(G859),ISERROR(H859)),"Error en fórmula: pegá como valores",IF(AND(B859="",$C$6=""),"Falta sector",IF(M859="","Falta capítulo",IF(TRIM(E859)="","Falta unidad",IF(NOT((COUNTIF(Listas!$A$2:$A$40,E859)+COUNTIF(Listas!$D$2:$D$60,E859)&gt;0)),"Unidad no reconocida",IF(AND(F859&lt;&gt;"",NOT(ISNUMBER(F859))),"Cantidad no es número",IF(N(F859)&lt;=0,"Falta cantidad",IF(OR(AND(G859&lt;&gt;"",NOT(ISNUMBER(G859))),AND(H859&lt;&gt;"",NOT(ISNUMBER(H859)))),"Precio no es número",IF(N(G859)+N(H859)&lt;=0,"Falta precio","✓ OK")))))))))))</f>
        <v/>
      </c>
      <c r="M859" t="str">
        <f>IF(N859&lt;&gt;"W","",IF(TRIM(C859)&lt;&gt;"",TRIM(C859),IFERROR(LOOKUP(2,1/(N$9:N859="T"),D$9:D859),"")))</f>
        <v/>
      </c>
      <c r="N859" t="str">
        <f t="shared" si="41"/>
        <v/>
      </c>
      <c r="O859" t="str">
        <f>IF(M859="","",IF(COUNTIF(M$9:M859,M859)=1,MAX(O$8:O858)+1,""))</f>
        <v/>
      </c>
    </row>
    <row r="860" spans="1:15" x14ac:dyDescent="0.75">
      <c r="A860" s="24" t="str">
        <f>IF(N860="W",COUNTIF(N$9:N860,"W"),"")</f>
        <v/>
      </c>
      <c r="B860" s="25"/>
      <c r="C860" s="25"/>
      <c r="D860" s="26"/>
      <c r="E860" s="25"/>
      <c r="F860" s="27"/>
      <c r="G860" s="28"/>
      <c r="H860" s="28"/>
      <c r="I860" s="29" t="str">
        <f t="shared" si="39"/>
        <v/>
      </c>
      <c r="J860" s="30" t="str">
        <f t="shared" si="40"/>
        <v/>
      </c>
      <c r="K860" s="26"/>
      <c r="L860" s="24" t="str">
        <f>IF(N860="","",IF(N860="T","Título de capítulo",IF(OR(ISERROR(F860),ISERROR(G860),ISERROR(H860)),"Error en fórmula: pegá como valores",IF(AND(B860="",$C$6=""),"Falta sector",IF(M860="","Falta capítulo",IF(TRIM(E860)="","Falta unidad",IF(NOT((COUNTIF(Listas!$A$2:$A$40,E860)+COUNTIF(Listas!$D$2:$D$60,E860)&gt;0)),"Unidad no reconocida",IF(AND(F860&lt;&gt;"",NOT(ISNUMBER(F860))),"Cantidad no es número",IF(N(F860)&lt;=0,"Falta cantidad",IF(OR(AND(G860&lt;&gt;"",NOT(ISNUMBER(G860))),AND(H860&lt;&gt;"",NOT(ISNUMBER(H860)))),"Precio no es número",IF(N(G860)+N(H860)&lt;=0,"Falta precio","✓ OK")))))))))))</f>
        <v/>
      </c>
      <c r="M860" t="str">
        <f>IF(N860&lt;&gt;"W","",IF(TRIM(C860)&lt;&gt;"",TRIM(C860),IFERROR(LOOKUP(2,1/(N$9:N860="T"),D$9:D860),"")))</f>
        <v/>
      </c>
      <c r="N860" t="str">
        <f t="shared" si="41"/>
        <v/>
      </c>
      <c r="O860" t="str">
        <f>IF(M860="","",IF(COUNTIF(M$9:M860,M860)=1,MAX(O$8:O859)+1,""))</f>
        <v/>
      </c>
    </row>
    <row r="861" spans="1:15" x14ac:dyDescent="0.75">
      <c r="A861" s="24" t="str">
        <f>IF(N861="W",COUNTIF(N$9:N861,"W"),"")</f>
        <v/>
      </c>
      <c r="B861" s="25"/>
      <c r="C861" s="25"/>
      <c r="D861" s="26"/>
      <c r="E861" s="25"/>
      <c r="F861" s="27"/>
      <c r="G861" s="28"/>
      <c r="H861" s="28"/>
      <c r="I861" s="29" t="str">
        <f t="shared" si="39"/>
        <v/>
      </c>
      <c r="J861" s="30" t="str">
        <f t="shared" si="40"/>
        <v/>
      </c>
      <c r="K861" s="26"/>
      <c r="L861" s="24" t="str">
        <f>IF(N861="","",IF(N861="T","Título de capítulo",IF(OR(ISERROR(F861),ISERROR(G861),ISERROR(H861)),"Error en fórmula: pegá como valores",IF(AND(B861="",$C$6=""),"Falta sector",IF(M861="","Falta capítulo",IF(TRIM(E861)="","Falta unidad",IF(NOT((COUNTIF(Listas!$A$2:$A$40,E861)+COUNTIF(Listas!$D$2:$D$60,E861)&gt;0)),"Unidad no reconocida",IF(AND(F861&lt;&gt;"",NOT(ISNUMBER(F861))),"Cantidad no es número",IF(N(F861)&lt;=0,"Falta cantidad",IF(OR(AND(G861&lt;&gt;"",NOT(ISNUMBER(G861))),AND(H861&lt;&gt;"",NOT(ISNUMBER(H861)))),"Precio no es número",IF(N(G861)+N(H861)&lt;=0,"Falta precio","✓ OK")))))))))))</f>
        <v/>
      </c>
      <c r="M861" t="str">
        <f>IF(N861&lt;&gt;"W","",IF(TRIM(C861)&lt;&gt;"",TRIM(C861),IFERROR(LOOKUP(2,1/(N$9:N861="T"),D$9:D861),"")))</f>
        <v/>
      </c>
      <c r="N861" t="str">
        <f t="shared" si="41"/>
        <v/>
      </c>
      <c r="O861" t="str">
        <f>IF(M861="","",IF(COUNTIF(M$9:M861,M861)=1,MAX(O$8:O860)+1,""))</f>
        <v/>
      </c>
    </row>
    <row r="862" spans="1:15" x14ac:dyDescent="0.75">
      <c r="A862" s="24" t="str">
        <f>IF(N862="W",COUNTIF(N$9:N862,"W"),"")</f>
        <v/>
      </c>
      <c r="B862" s="25"/>
      <c r="C862" s="25"/>
      <c r="D862" s="26"/>
      <c r="E862" s="25"/>
      <c r="F862" s="27"/>
      <c r="G862" s="28"/>
      <c r="H862" s="28"/>
      <c r="I862" s="29" t="str">
        <f t="shared" si="39"/>
        <v/>
      </c>
      <c r="J862" s="30" t="str">
        <f t="shared" si="40"/>
        <v/>
      </c>
      <c r="K862" s="26"/>
      <c r="L862" s="24" t="str">
        <f>IF(N862="","",IF(N862="T","Título de capítulo",IF(OR(ISERROR(F862),ISERROR(G862),ISERROR(H862)),"Error en fórmula: pegá como valores",IF(AND(B862="",$C$6=""),"Falta sector",IF(M862="","Falta capítulo",IF(TRIM(E862)="","Falta unidad",IF(NOT((COUNTIF(Listas!$A$2:$A$40,E862)+COUNTIF(Listas!$D$2:$D$60,E862)&gt;0)),"Unidad no reconocida",IF(AND(F862&lt;&gt;"",NOT(ISNUMBER(F862))),"Cantidad no es número",IF(N(F862)&lt;=0,"Falta cantidad",IF(OR(AND(G862&lt;&gt;"",NOT(ISNUMBER(G862))),AND(H862&lt;&gt;"",NOT(ISNUMBER(H862)))),"Precio no es número",IF(N(G862)+N(H862)&lt;=0,"Falta precio","✓ OK")))))))))))</f>
        <v/>
      </c>
      <c r="M862" t="str">
        <f>IF(N862&lt;&gt;"W","",IF(TRIM(C862)&lt;&gt;"",TRIM(C862),IFERROR(LOOKUP(2,1/(N$9:N862="T"),D$9:D862),"")))</f>
        <v/>
      </c>
      <c r="N862" t="str">
        <f t="shared" si="41"/>
        <v/>
      </c>
      <c r="O862" t="str">
        <f>IF(M862="","",IF(COUNTIF(M$9:M862,M862)=1,MAX(O$8:O861)+1,""))</f>
        <v/>
      </c>
    </row>
    <row r="863" spans="1:15" x14ac:dyDescent="0.75">
      <c r="A863" s="24" t="str">
        <f>IF(N863="W",COUNTIF(N$9:N863,"W"),"")</f>
        <v/>
      </c>
      <c r="B863" s="25"/>
      <c r="C863" s="25"/>
      <c r="D863" s="26"/>
      <c r="E863" s="25"/>
      <c r="F863" s="27"/>
      <c r="G863" s="28"/>
      <c r="H863" s="28"/>
      <c r="I863" s="29" t="str">
        <f t="shared" si="39"/>
        <v/>
      </c>
      <c r="J863" s="30" t="str">
        <f t="shared" si="40"/>
        <v/>
      </c>
      <c r="K863" s="26"/>
      <c r="L863" s="24" t="str">
        <f>IF(N863="","",IF(N863="T","Título de capítulo",IF(OR(ISERROR(F863),ISERROR(G863),ISERROR(H863)),"Error en fórmula: pegá como valores",IF(AND(B863="",$C$6=""),"Falta sector",IF(M863="","Falta capítulo",IF(TRIM(E863)="","Falta unidad",IF(NOT((COUNTIF(Listas!$A$2:$A$40,E863)+COUNTIF(Listas!$D$2:$D$60,E863)&gt;0)),"Unidad no reconocida",IF(AND(F863&lt;&gt;"",NOT(ISNUMBER(F863))),"Cantidad no es número",IF(N(F863)&lt;=0,"Falta cantidad",IF(OR(AND(G863&lt;&gt;"",NOT(ISNUMBER(G863))),AND(H863&lt;&gt;"",NOT(ISNUMBER(H863)))),"Precio no es número",IF(N(G863)+N(H863)&lt;=0,"Falta precio","✓ OK")))))))))))</f>
        <v/>
      </c>
      <c r="M863" t="str">
        <f>IF(N863&lt;&gt;"W","",IF(TRIM(C863)&lt;&gt;"",TRIM(C863),IFERROR(LOOKUP(2,1/(N$9:N863="T"),D$9:D863),"")))</f>
        <v/>
      </c>
      <c r="N863" t="str">
        <f t="shared" si="41"/>
        <v/>
      </c>
      <c r="O863" t="str">
        <f>IF(M863="","",IF(COUNTIF(M$9:M863,M863)=1,MAX(O$8:O862)+1,""))</f>
        <v/>
      </c>
    </row>
    <row r="864" spans="1:15" x14ac:dyDescent="0.75">
      <c r="A864" s="24" t="str">
        <f>IF(N864="W",COUNTIF(N$9:N864,"W"),"")</f>
        <v/>
      </c>
      <c r="B864" s="25"/>
      <c r="C864" s="25"/>
      <c r="D864" s="26"/>
      <c r="E864" s="25"/>
      <c r="F864" s="27"/>
      <c r="G864" s="28"/>
      <c r="H864" s="28"/>
      <c r="I864" s="29" t="str">
        <f t="shared" si="39"/>
        <v/>
      </c>
      <c r="J864" s="30" t="str">
        <f t="shared" si="40"/>
        <v/>
      </c>
      <c r="K864" s="26"/>
      <c r="L864" s="24" t="str">
        <f>IF(N864="","",IF(N864="T","Título de capítulo",IF(OR(ISERROR(F864),ISERROR(G864),ISERROR(H864)),"Error en fórmula: pegá como valores",IF(AND(B864="",$C$6=""),"Falta sector",IF(M864="","Falta capítulo",IF(TRIM(E864)="","Falta unidad",IF(NOT((COUNTIF(Listas!$A$2:$A$40,E864)+COUNTIF(Listas!$D$2:$D$60,E864)&gt;0)),"Unidad no reconocida",IF(AND(F864&lt;&gt;"",NOT(ISNUMBER(F864))),"Cantidad no es número",IF(N(F864)&lt;=0,"Falta cantidad",IF(OR(AND(G864&lt;&gt;"",NOT(ISNUMBER(G864))),AND(H864&lt;&gt;"",NOT(ISNUMBER(H864)))),"Precio no es número",IF(N(G864)+N(H864)&lt;=0,"Falta precio","✓ OK")))))))))))</f>
        <v/>
      </c>
      <c r="M864" t="str">
        <f>IF(N864&lt;&gt;"W","",IF(TRIM(C864)&lt;&gt;"",TRIM(C864),IFERROR(LOOKUP(2,1/(N$9:N864="T"),D$9:D864),"")))</f>
        <v/>
      </c>
      <c r="N864" t="str">
        <f t="shared" si="41"/>
        <v/>
      </c>
      <c r="O864" t="str">
        <f>IF(M864="","",IF(COUNTIF(M$9:M864,M864)=1,MAX(O$8:O863)+1,""))</f>
        <v/>
      </c>
    </row>
    <row r="865" spans="1:15" x14ac:dyDescent="0.75">
      <c r="A865" s="24" t="str">
        <f>IF(N865="W",COUNTIF(N$9:N865,"W"),"")</f>
        <v/>
      </c>
      <c r="B865" s="25"/>
      <c r="C865" s="25"/>
      <c r="D865" s="26"/>
      <c r="E865" s="25"/>
      <c r="F865" s="27"/>
      <c r="G865" s="28"/>
      <c r="H865" s="28"/>
      <c r="I865" s="29" t="str">
        <f t="shared" si="39"/>
        <v/>
      </c>
      <c r="J865" s="30" t="str">
        <f t="shared" si="40"/>
        <v/>
      </c>
      <c r="K865" s="26"/>
      <c r="L865" s="24" t="str">
        <f>IF(N865="","",IF(N865="T","Título de capítulo",IF(OR(ISERROR(F865),ISERROR(G865),ISERROR(H865)),"Error en fórmula: pegá como valores",IF(AND(B865="",$C$6=""),"Falta sector",IF(M865="","Falta capítulo",IF(TRIM(E865)="","Falta unidad",IF(NOT((COUNTIF(Listas!$A$2:$A$40,E865)+COUNTIF(Listas!$D$2:$D$60,E865)&gt;0)),"Unidad no reconocida",IF(AND(F865&lt;&gt;"",NOT(ISNUMBER(F865))),"Cantidad no es número",IF(N(F865)&lt;=0,"Falta cantidad",IF(OR(AND(G865&lt;&gt;"",NOT(ISNUMBER(G865))),AND(H865&lt;&gt;"",NOT(ISNUMBER(H865)))),"Precio no es número",IF(N(G865)+N(H865)&lt;=0,"Falta precio","✓ OK")))))))))))</f>
        <v/>
      </c>
      <c r="M865" t="str">
        <f>IF(N865&lt;&gt;"W","",IF(TRIM(C865)&lt;&gt;"",TRIM(C865),IFERROR(LOOKUP(2,1/(N$9:N865="T"),D$9:D865),"")))</f>
        <v/>
      </c>
      <c r="N865" t="str">
        <f t="shared" si="41"/>
        <v/>
      </c>
      <c r="O865" t="str">
        <f>IF(M865="","",IF(COUNTIF(M$9:M865,M865)=1,MAX(O$8:O864)+1,""))</f>
        <v/>
      </c>
    </row>
    <row r="866" spans="1:15" x14ac:dyDescent="0.75">
      <c r="A866" s="24" t="str">
        <f>IF(N866="W",COUNTIF(N$9:N866,"W"),"")</f>
        <v/>
      </c>
      <c r="B866" s="25"/>
      <c r="C866" s="25"/>
      <c r="D866" s="26"/>
      <c r="E866" s="25"/>
      <c r="F866" s="27"/>
      <c r="G866" s="28"/>
      <c r="H866" s="28"/>
      <c r="I866" s="29" t="str">
        <f t="shared" si="39"/>
        <v/>
      </c>
      <c r="J866" s="30" t="str">
        <f t="shared" si="40"/>
        <v/>
      </c>
      <c r="K866" s="26"/>
      <c r="L866" s="24" t="str">
        <f>IF(N866="","",IF(N866="T","Título de capítulo",IF(OR(ISERROR(F866),ISERROR(G866),ISERROR(H866)),"Error en fórmula: pegá como valores",IF(AND(B866="",$C$6=""),"Falta sector",IF(M866="","Falta capítulo",IF(TRIM(E866)="","Falta unidad",IF(NOT((COUNTIF(Listas!$A$2:$A$40,E866)+COUNTIF(Listas!$D$2:$D$60,E866)&gt;0)),"Unidad no reconocida",IF(AND(F866&lt;&gt;"",NOT(ISNUMBER(F866))),"Cantidad no es número",IF(N(F866)&lt;=0,"Falta cantidad",IF(OR(AND(G866&lt;&gt;"",NOT(ISNUMBER(G866))),AND(H866&lt;&gt;"",NOT(ISNUMBER(H866)))),"Precio no es número",IF(N(G866)+N(H866)&lt;=0,"Falta precio","✓ OK")))))))))))</f>
        <v/>
      </c>
      <c r="M866" t="str">
        <f>IF(N866&lt;&gt;"W","",IF(TRIM(C866)&lt;&gt;"",TRIM(C866),IFERROR(LOOKUP(2,1/(N$9:N866="T"),D$9:D866),"")))</f>
        <v/>
      </c>
      <c r="N866" t="str">
        <f t="shared" si="41"/>
        <v/>
      </c>
      <c r="O866" t="str">
        <f>IF(M866="","",IF(COUNTIF(M$9:M866,M866)=1,MAX(O$8:O865)+1,""))</f>
        <v/>
      </c>
    </row>
    <row r="867" spans="1:15" x14ac:dyDescent="0.75">
      <c r="A867" s="24" t="str">
        <f>IF(N867="W",COUNTIF(N$9:N867,"W"),"")</f>
        <v/>
      </c>
      <c r="B867" s="25"/>
      <c r="C867" s="25"/>
      <c r="D867" s="26"/>
      <c r="E867" s="25"/>
      <c r="F867" s="27"/>
      <c r="G867" s="28"/>
      <c r="H867" s="28"/>
      <c r="I867" s="29" t="str">
        <f t="shared" si="39"/>
        <v/>
      </c>
      <c r="J867" s="30" t="str">
        <f t="shared" si="40"/>
        <v/>
      </c>
      <c r="K867" s="26"/>
      <c r="L867" s="24" t="str">
        <f>IF(N867="","",IF(N867="T","Título de capítulo",IF(OR(ISERROR(F867),ISERROR(G867),ISERROR(H867)),"Error en fórmula: pegá como valores",IF(AND(B867="",$C$6=""),"Falta sector",IF(M867="","Falta capítulo",IF(TRIM(E867)="","Falta unidad",IF(NOT((COUNTIF(Listas!$A$2:$A$40,E867)+COUNTIF(Listas!$D$2:$D$60,E867)&gt;0)),"Unidad no reconocida",IF(AND(F867&lt;&gt;"",NOT(ISNUMBER(F867))),"Cantidad no es número",IF(N(F867)&lt;=0,"Falta cantidad",IF(OR(AND(G867&lt;&gt;"",NOT(ISNUMBER(G867))),AND(H867&lt;&gt;"",NOT(ISNUMBER(H867)))),"Precio no es número",IF(N(G867)+N(H867)&lt;=0,"Falta precio","✓ OK")))))))))))</f>
        <v/>
      </c>
      <c r="M867" t="str">
        <f>IF(N867&lt;&gt;"W","",IF(TRIM(C867)&lt;&gt;"",TRIM(C867),IFERROR(LOOKUP(2,1/(N$9:N867="T"),D$9:D867),"")))</f>
        <v/>
      </c>
      <c r="N867" t="str">
        <f t="shared" si="41"/>
        <v/>
      </c>
      <c r="O867" t="str">
        <f>IF(M867="","",IF(COUNTIF(M$9:M867,M867)=1,MAX(O$8:O866)+1,""))</f>
        <v/>
      </c>
    </row>
    <row r="868" spans="1:15" x14ac:dyDescent="0.75">
      <c r="A868" s="24" t="str">
        <f>IF(N868="W",COUNTIF(N$9:N868,"W"),"")</f>
        <v/>
      </c>
      <c r="B868" s="25"/>
      <c r="C868" s="25"/>
      <c r="D868" s="26"/>
      <c r="E868" s="25"/>
      <c r="F868" s="27"/>
      <c r="G868" s="28"/>
      <c r="H868" s="28"/>
      <c r="I868" s="29" t="str">
        <f t="shared" si="39"/>
        <v/>
      </c>
      <c r="J868" s="30" t="str">
        <f t="shared" si="40"/>
        <v/>
      </c>
      <c r="K868" s="26"/>
      <c r="L868" s="24" t="str">
        <f>IF(N868="","",IF(N868="T","Título de capítulo",IF(OR(ISERROR(F868),ISERROR(G868),ISERROR(H868)),"Error en fórmula: pegá como valores",IF(AND(B868="",$C$6=""),"Falta sector",IF(M868="","Falta capítulo",IF(TRIM(E868)="","Falta unidad",IF(NOT((COUNTIF(Listas!$A$2:$A$40,E868)+COUNTIF(Listas!$D$2:$D$60,E868)&gt;0)),"Unidad no reconocida",IF(AND(F868&lt;&gt;"",NOT(ISNUMBER(F868))),"Cantidad no es número",IF(N(F868)&lt;=0,"Falta cantidad",IF(OR(AND(G868&lt;&gt;"",NOT(ISNUMBER(G868))),AND(H868&lt;&gt;"",NOT(ISNUMBER(H868)))),"Precio no es número",IF(N(G868)+N(H868)&lt;=0,"Falta precio","✓ OK")))))))))))</f>
        <v/>
      </c>
      <c r="M868" t="str">
        <f>IF(N868&lt;&gt;"W","",IF(TRIM(C868)&lt;&gt;"",TRIM(C868),IFERROR(LOOKUP(2,1/(N$9:N868="T"),D$9:D868),"")))</f>
        <v/>
      </c>
      <c r="N868" t="str">
        <f t="shared" si="41"/>
        <v/>
      </c>
      <c r="O868" t="str">
        <f>IF(M868="","",IF(COUNTIF(M$9:M868,M868)=1,MAX(O$8:O867)+1,""))</f>
        <v/>
      </c>
    </row>
    <row r="869" spans="1:15" x14ac:dyDescent="0.75">
      <c r="A869" s="24" t="str">
        <f>IF(N869="W",COUNTIF(N$9:N869,"W"),"")</f>
        <v/>
      </c>
      <c r="B869" s="25"/>
      <c r="C869" s="25"/>
      <c r="D869" s="26"/>
      <c r="E869" s="25"/>
      <c r="F869" s="27"/>
      <c r="G869" s="28"/>
      <c r="H869" s="28"/>
      <c r="I869" s="29" t="str">
        <f t="shared" si="39"/>
        <v/>
      </c>
      <c r="J869" s="30" t="str">
        <f t="shared" si="40"/>
        <v/>
      </c>
      <c r="K869" s="26"/>
      <c r="L869" s="24" t="str">
        <f>IF(N869="","",IF(N869="T","Título de capítulo",IF(OR(ISERROR(F869),ISERROR(G869),ISERROR(H869)),"Error en fórmula: pegá como valores",IF(AND(B869="",$C$6=""),"Falta sector",IF(M869="","Falta capítulo",IF(TRIM(E869)="","Falta unidad",IF(NOT((COUNTIF(Listas!$A$2:$A$40,E869)+COUNTIF(Listas!$D$2:$D$60,E869)&gt;0)),"Unidad no reconocida",IF(AND(F869&lt;&gt;"",NOT(ISNUMBER(F869))),"Cantidad no es número",IF(N(F869)&lt;=0,"Falta cantidad",IF(OR(AND(G869&lt;&gt;"",NOT(ISNUMBER(G869))),AND(H869&lt;&gt;"",NOT(ISNUMBER(H869)))),"Precio no es número",IF(N(G869)+N(H869)&lt;=0,"Falta precio","✓ OK")))))))))))</f>
        <v/>
      </c>
      <c r="M869" t="str">
        <f>IF(N869&lt;&gt;"W","",IF(TRIM(C869)&lt;&gt;"",TRIM(C869),IFERROR(LOOKUP(2,1/(N$9:N869="T"),D$9:D869),"")))</f>
        <v/>
      </c>
      <c r="N869" t="str">
        <f t="shared" si="41"/>
        <v/>
      </c>
      <c r="O869" t="str">
        <f>IF(M869="","",IF(COUNTIF(M$9:M869,M869)=1,MAX(O$8:O868)+1,""))</f>
        <v/>
      </c>
    </row>
    <row r="870" spans="1:15" x14ac:dyDescent="0.75">
      <c r="A870" s="24" t="str">
        <f>IF(N870="W",COUNTIF(N$9:N870,"W"),"")</f>
        <v/>
      </c>
      <c r="B870" s="25"/>
      <c r="C870" s="25"/>
      <c r="D870" s="26"/>
      <c r="E870" s="25"/>
      <c r="F870" s="27"/>
      <c r="G870" s="28"/>
      <c r="H870" s="28"/>
      <c r="I870" s="29" t="str">
        <f t="shared" si="39"/>
        <v/>
      </c>
      <c r="J870" s="30" t="str">
        <f t="shared" si="40"/>
        <v/>
      </c>
      <c r="K870" s="26"/>
      <c r="L870" s="24" t="str">
        <f>IF(N870="","",IF(N870="T","Título de capítulo",IF(OR(ISERROR(F870),ISERROR(G870),ISERROR(H870)),"Error en fórmula: pegá como valores",IF(AND(B870="",$C$6=""),"Falta sector",IF(M870="","Falta capítulo",IF(TRIM(E870)="","Falta unidad",IF(NOT((COUNTIF(Listas!$A$2:$A$40,E870)+COUNTIF(Listas!$D$2:$D$60,E870)&gt;0)),"Unidad no reconocida",IF(AND(F870&lt;&gt;"",NOT(ISNUMBER(F870))),"Cantidad no es número",IF(N(F870)&lt;=0,"Falta cantidad",IF(OR(AND(G870&lt;&gt;"",NOT(ISNUMBER(G870))),AND(H870&lt;&gt;"",NOT(ISNUMBER(H870)))),"Precio no es número",IF(N(G870)+N(H870)&lt;=0,"Falta precio","✓ OK")))))))))))</f>
        <v/>
      </c>
      <c r="M870" t="str">
        <f>IF(N870&lt;&gt;"W","",IF(TRIM(C870)&lt;&gt;"",TRIM(C870),IFERROR(LOOKUP(2,1/(N$9:N870="T"),D$9:D870),"")))</f>
        <v/>
      </c>
      <c r="N870" t="str">
        <f t="shared" si="41"/>
        <v/>
      </c>
      <c r="O870" t="str">
        <f>IF(M870="","",IF(COUNTIF(M$9:M870,M870)=1,MAX(O$8:O869)+1,""))</f>
        <v/>
      </c>
    </row>
    <row r="871" spans="1:15" x14ac:dyDescent="0.75">
      <c r="A871" s="24" t="str">
        <f>IF(N871="W",COUNTIF(N$9:N871,"W"),"")</f>
        <v/>
      </c>
      <c r="B871" s="25"/>
      <c r="C871" s="25"/>
      <c r="D871" s="26"/>
      <c r="E871" s="25"/>
      <c r="F871" s="27"/>
      <c r="G871" s="28"/>
      <c r="H871" s="28"/>
      <c r="I871" s="29" t="str">
        <f t="shared" si="39"/>
        <v/>
      </c>
      <c r="J871" s="30" t="str">
        <f t="shared" si="40"/>
        <v/>
      </c>
      <c r="K871" s="26"/>
      <c r="L871" s="24" t="str">
        <f>IF(N871="","",IF(N871="T","Título de capítulo",IF(OR(ISERROR(F871),ISERROR(G871),ISERROR(H871)),"Error en fórmula: pegá como valores",IF(AND(B871="",$C$6=""),"Falta sector",IF(M871="","Falta capítulo",IF(TRIM(E871)="","Falta unidad",IF(NOT((COUNTIF(Listas!$A$2:$A$40,E871)+COUNTIF(Listas!$D$2:$D$60,E871)&gt;0)),"Unidad no reconocida",IF(AND(F871&lt;&gt;"",NOT(ISNUMBER(F871))),"Cantidad no es número",IF(N(F871)&lt;=0,"Falta cantidad",IF(OR(AND(G871&lt;&gt;"",NOT(ISNUMBER(G871))),AND(H871&lt;&gt;"",NOT(ISNUMBER(H871)))),"Precio no es número",IF(N(G871)+N(H871)&lt;=0,"Falta precio","✓ OK")))))))))))</f>
        <v/>
      </c>
      <c r="M871" t="str">
        <f>IF(N871&lt;&gt;"W","",IF(TRIM(C871)&lt;&gt;"",TRIM(C871),IFERROR(LOOKUP(2,1/(N$9:N871="T"),D$9:D871),"")))</f>
        <v/>
      </c>
      <c r="N871" t="str">
        <f t="shared" si="41"/>
        <v/>
      </c>
      <c r="O871" t="str">
        <f>IF(M871="","",IF(COUNTIF(M$9:M871,M871)=1,MAX(O$8:O870)+1,""))</f>
        <v/>
      </c>
    </row>
    <row r="872" spans="1:15" x14ac:dyDescent="0.75">
      <c r="A872" s="24" t="str">
        <f>IF(N872="W",COUNTIF(N$9:N872,"W"),"")</f>
        <v/>
      </c>
      <c r="B872" s="25"/>
      <c r="C872" s="25"/>
      <c r="D872" s="26"/>
      <c r="E872" s="25"/>
      <c r="F872" s="27"/>
      <c r="G872" s="28"/>
      <c r="H872" s="28"/>
      <c r="I872" s="29" t="str">
        <f t="shared" si="39"/>
        <v/>
      </c>
      <c r="J872" s="30" t="str">
        <f t="shared" si="40"/>
        <v/>
      </c>
      <c r="K872" s="26"/>
      <c r="L872" s="24" t="str">
        <f>IF(N872="","",IF(N872="T","Título de capítulo",IF(OR(ISERROR(F872),ISERROR(G872),ISERROR(H872)),"Error en fórmula: pegá como valores",IF(AND(B872="",$C$6=""),"Falta sector",IF(M872="","Falta capítulo",IF(TRIM(E872)="","Falta unidad",IF(NOT((COUNTIF(Listas!$A$2:$A$40,E872)+COUNTIF(Listas!$D$2:$D$60,E872)&gt;0)),"Unidad no reconocida",IF(AND(F872&lt;&gt;"",NOT(ISNUMBER(F872))),"Cantidad no es número",IF(N(F872)&lt;=0,"Falta cantidad",IF(OR(AND(G872&lt;&gt;"",NOT(ISNUMBER(G872))),AND(H872&lt;&gt;"",NOT(ISNUMBER(H872)))),"Precio no es número",IF(N(G872)+N(H872)&lt;=0,"Falta precio","✓ OK")))))))))))</f>
        <v/>
      </c>
      <c r="M872" t="str">
        <f>IF(N872&lt;&gt;"W","",IF(TRIM(C872)&lt;&gt;"",TRIM(C872),IFERROR(LOOKUP(2,1/(N$9:N872="T"),D$9:D872),"")))</f>
        <v/>
      </c>
      <c r="N872" t="str">
        <f t="shared" si="41"/>
        <v/>
      </c>
      <c r="O872" t="str">
        <f>IF(M872="","",IF(COUNTIF(M$9:M872,M872)=1,MAX(O$8:O871)+1,""))</f>
        <v/>
      </c>
    </row>
    <row r="873" spans="1:15" x14ac:dyDescent="0.75">
      <c r="A873" s="24" t="str">
        <f>IF(N873="W",COUNTIF(N$9:N873,"W"),"")</f>
        <v/>
      </c>
      <c r="B873" s="25"/>
      <c r="C873" s="25"/>
      <c r="D873" s="26"/>
      <c r="E873" s="25"/>
      <c r="F873" s="27"/>
      <c r="G873" s="28"/>
      <c r="H873" s="28"/>
      <c r="I873" s="29" t="str">
        <f t="shared" si="39"/>
        <v/>
      </c>
      <c r="J873" s="30" t="str">
        <f t="shared" si="40"/>
        <v/>
      </c>
      <c r="K873" s="26"/>
      <c r="L873" s="24" t="str">
        <f>IF(N873="","",IF(N873="T","Título de capítulo",IF(OR(ISERROR(F873),ISERROR(G873),ISERROR(H873)),"Error en fórmula: pegá como valores",IF(AND(B873="",$C$6=""),"Falta sector",IF(M873="","Falta capítulo",IF(TRIM(E873)="","Falta unidad",IF(NOT((COUNTIF(Listas!$A$2:$A$40,E873)+COUNTIF(Listas!$D$2:$D$60,E873)&gt;0)),"Unidad no reconocida",IF(AND(F873&lt;&gt;"",NOT(ISNUMBER(F873))),"Cantidad no es número",IF(N(F873)&lt;=0,"Falta cantidad",IF(OR(AND(G873&lt;&gt;"",NOT(ISNUMBER(G873))),AND(H873&lt;&gt;"",NOT(ISNUMBER(H873)))),"Precio no es número",IF(N(G873)+N(H873)&lt;=0,"Falta precio","✓ OK")))))))))))</f>
        <v/>
      </c>
      <c r="M873" t="str">
        <f>IF(N873&lt;&gt;"W","",IF(TRIM(C873)&lt;&gt;"",TRIM(C873),IFERROR(LOOKUP(2,1/(N$9:N873="T"),D$9:D873),"")))</f>
        <v/>
      </c>
      <c r="N873" t="str">
        <f t="shared" si="41"/>
        <v/>
      </c>
      <c r="O873" t="str">
        <f>IF(M873="","",IF(COUNTIF(M$9:M873,M873)=1,MAX(O$8:O872)+1,""))</f>
        <v/>
      </c>
    </row>
    <row r="874" spans="1:15" x14ac:dyDescent="0.75">
      <c r="A874" s="24" t="str">
        <f>IF(N874="W",COUNTIF(N$9:N874,"W"),"")</f>
        <v/>
      </c>
      <c r="B874" s="25"/>
      <c r="C874" s="25"/>
      <c r="D874" s="26"/>
      <c r="E874" s="25"/>
      <c r="F874" s="27"/>
      <c r="G874" s="28"/>
      <c r="H874" s="28"/>
      <c r="I874" s="29" t="str">
        <f t="shared" si="39"/>
        <v/>
      </c>
      <c r="J874" s="30" t="str">
        <f t="shared" si="40"/>
        <v/>
      </c>
      <c r="K874" s="26"/>
      <c r="L874" s="24" t="str">
        <f>IF(N874="","",IF(N874="T","Título de capítulo",IF(OR(ISERROR(F874),ISERROR(G874),ISERROR(H874)),"Error en fórmula: pegá como valores",IF(AND(B874="",$C$6=""),"Falta sector",IF(M874="","Falta capítulo",IF(TRIM(E874)="","Falta unidad",IF(NOT((COUNTIF(Listas!$A$2:$A$40,E874)+COUNTIF(Listas!$D$2:$D$60,E874)&gt;0)),"Unidad no reconocida",IF(AND(F874&lt;&gt;"",NOT(ISNUMBER(F874))),"Cantidad no es número",IF(N(F874)&lt;=0,"Falta cantidad",IF(OR(AND(G874&lt;&gt;"",NOT(ISNUMBER(G874))),AND(H874&lt;&gt;"",NOT(ISNUMBER(H874)))),"Precio no es número",IF(N(G874)+N(H874)&lt;=0,"Falta precio","✓ OK")))))))))))</f>
        <v/>
      </c>
      <c r="M874" t="str">
        <f>IF(N874&lt;&gt;"W","",IF(TRIM(C874)&lt;&gt;"",TRIM(C874),IFERROR(LOOKUP(2,1/(N$9:N874="T"),D$9:D874),"")))</f>
        <v/>
      </c>
      <c r="N874" t="str">
        <f t="shared" si="41"/>
        <v/>
      </c>
      <c r="O874" t="str">
        <f>IF(M874="","",IF(COUNTIF(M$9:M874,M874)=1,MAX(O$8:O873)+1,""))</f>
        <v/>
      </c>
    </row>
    <row r="875" spans="1:15" x14ac:dyDescent="0.75">
      <c r="A875" s="24" t="str">
        <f>IF(N875="W",COUNTIF(N$9:N875,"W"),"")</f>
        <v/>
      </c>
      <c r="B875" s="25"/>
      <c r="C875" s="25"/>
      <c r="D875" s="26"/>
      <c r="E875" s="25"/>
      <c r="F875" s="27"/>
      <c r="G875" s="28"/>
      <c r="H875" s="28"/>
      <c r="I875" s="29" t="str">
        <f t="shared" si="39"/>
        <v/>
      </c>
      <c r="J875" s="30" t="str">
        <f t="shared" si="40"/>
        <v/>
      </c>
      <c r="K875" s="26"/>
      <c r="L875" s="24" t="str">
        <f>IF(N875="","",IF(N875="T","Título de capítulo",IF(OR(ISERROR(F875),ISERROR(G875),ISERROR(H875)),"Error en fórmula: pegá como valores",IF(AND(B875="",$C$6=""),"Falta sector",IF(M875="","Falta capítulo",IF(TRIM(E875)="","Falta unidad",IF(NOT((COUNTIF(Listas!$A$2:$A$40,E875)+COUNTIF(Listas!$D$2:$D$60,E875)&gt;0)),"Unidad no reconocida",IF(AND(F875&lt;&gt;"",NOT(ISNUMBER(F875))),"Cantidad no es número",IF(N(F875)&lt;=0,"Falta cantidad",IF(OR(AND(G875&lt;&gt;"",NOT(ISNUMBER(G875))),AND(H875&lt;&gt;"",NOT(ISNUMBER(H875)))),"Precio no es número",IF(N(G875)+N(H875)&lt;=0,"Falta precio","✓ OK")))))))))))</f>
        <v/>
      </c>
      <c r="M875" t="str">
        <f>IF(N875&lt;&gt;"W","",IF(TRIM(C875)&lt;&gt;"",TRIM(C875),IFERROR(LOOKUP(2,1/(N$9:N875="T"),D$9:D875),"")))</f>
        <v/>
      </c>
      <c r="N875" t="str">
        <f t="shared" si="41"/>
        <v/>
      </c>
      <c r="O875" t="str">
        <f>IF(M875="","",IF(COUNTIF(M$9:M875,M875)=1,MAX(O$8:O874)+1,""))</f>
        <v/>
      </c>
    </row>
    <row r="876" spans="1:15" x14ac:dyDescent="0.75">
      <c r="A876" s="24" t="str">
        <f>IF(N876="W",COUNTIF(N$9:N876,"W"),"")</f>
        <v/>
      </c>
      <c r="B876" s="25"/>
      <c r="C876" s="25"/>
      <c r="D876" s="26"/>
      <c r="E876" s="25"/>
      <c r="F876" s="27"/>
      <c r="G876" s="28"/>
      <c r="H876" s="28"/>
      <c r="I876" s="29" t="str">
        <f t="shared" si="39"/>
        <v/>
      </c>
      <c r="J876" s="30" t="str">
        <f t="shared" si="40"/>
        <v/>
      </c>
      <c r="K876" s="26"/>
      <c r="L876" s="24" t="str">
        <f>IF(N876="","",IF(N876="T","Título de capítulo",IF(OR(ISERROR(F876),ISERROR(G876),ISERROR(H876)),"Error en fórmula: pegá como valores",IF(AND(B876="",$C$6=""),"Falta sector",IF(M876="","Falta capítulo",IF(TRIM(E876)="","Falta unidad",IF(NOT((COUNTIF(Listas!$A$2:$A$40,E876)+COUNTIF(Listas!$D$2:$D$60,E876)&gt;0)),"Unidad no reconocida",IF(AND(F876&lt;&gt;"",NOT(ISNUMBER(F876))),"Cantidad no es número",IF(N(F876)&lt;=0,"Falta cantidad",IF(OR(AND(G876&lt;&gt;"",NOT(ISNUMBER(G876))),AND(H876&lt;&gt;"",NOT(ISNUMBER(H876)))),"Precio no es número",IF(N(G876)+N(H876)&lt;=0,"Falta precio","✓ OK")))))))))))</f>
        <v/>
      </c>
      <c r="M876" t="str">
        <f>IF(N876&lt;&gt;"W","",IF(TRIM(C876)&lt;&gt;"",TRIM(C876),IFERROR(LOOKUP(2,1/(N$9:N876="T"),D$9:D876),"")))</f>
        <v/>
      </c>
      <c r="N876" t="str">
        <f t="shared" si="41"/>
        <v/>
      </c>
      <c r="O876" t="str">
        <f>IF(M876="","",IF(COUNTIF(M$9:M876,M876)=1,MAX(O$8:O875)+1,""))</f>
        <v/>
      </c>
    </row>
    <row r="877" spans="1:15" x14ac:dyDescent="0.75">
      <c r="A877" s="24" t="str">
        <f>IF(N877="W",COUNTIF(N$9:N877,"W"),"")</f>
        <v/>
      </c>
      <c r="B877" s="25"/>
      <c r="C877" s="25"/>
      <c r="D877" s="26"/>
      <c r="E877" s="25"/>
      <c r="F877" s="27"/>
      <c r="G877" s="28"/>
      <c r="H877" s="28"/>
      <c r="I877" s="29" t="str">
        <f t="shared" si="39"/>
        <v/>
      </c>
      <c r="J877" s="30" t="str">
        <f t="shared" si="40"/>
        <v/>
      </c>
      <c r="K877" s="26"/>
      <c r="L877" s="24" t="str">
        <f>IF(N877="","",IF(N877="T","Título de capítulo",IF(OR(ISERROR(F877),ISERROR(G877),ISERROR(H877)),"Error en fórmula: pegá como valores",IF(AND(B877="",$C$6=""),"Falta sector",IF(M877="","Falta capítulo",IF(TRIM(E877)="","Falta unidad",IF(NOT((COUNTIF(Listas!$A$2:$A$40,E877)+COUNTIF(Listas!$D$2:$D$60,E877)&gt;0)),"Unidad no reconocida",IF(AND(F877&lt;&gt;"",NOT(ISNUMBER(F877))),"Cantidad no es número",IF(N(F877)&lt;=0,"Falta cantidad",IF(OR(AND(G877&lt;&gt;"",NOT(ISNUMBER(G877))),AND(H877&lt;&gt;"",NOT(ISNUMBER(H877)))),"Precio no es número",IF(N(G877)+N(H877)&lt;=0,"Falta precio","✓ OK")))))))))))</f>
        <v/>
      </c>
      <c r="M877" t="str">
        <f>IF(N877&lt;&gt;"W","",IF(TRIM(C877)&lt;&gt;"",TRIM(C877),IFERROR(LOOKUP(2,1/(N$9:N877="T"),D$9:D877),"")))</f>
        <v/>
      </c>
      <c r="N877" t="str">
        <f t="shared" si="41"/>
        <v/>
      </c>
      <c r="O877" t="str">
        <f>IF(M877="","",IF(COUNTIF(M$9:M877,M877)=1,MAX(O$8:O876)+1,""))</f>
        <v/>
      </c>
    </row>
    <row r="878" spans="1:15" x14ac:dyDescent="0.75">
      <c r="A878" s="24" t="str">
        <f>IF(N878="W",COUNTIF(N$9:N878,"W"),"")</f>
        <v/>
      </c>
      <c r="B878" s="25"/>
      <c r="C878" s="25"/>
      <c r="D878" s="26"/>
      <c r="E878" s="25"/>
      <c r="F878" s="27"/>
      <c r="G878" s="28"/>
      <c r="H878" s="28"/>
      <c r="I878" s="29" t="str">
        <f t="shared" si="39"/>
        <v/>
      </c>
      <c r="J878" s="30" t="str">
        <f t="shared" si="40"/>
        <v/>
      </c>
      <c r="K878" s="26"/>
      <c r="L878" s="24" t="str">
        <f>IF(N878="","",IF(N878="T","Título de capítulo",IF(OR(ISERROR(F878),ISERROR(G878),ISERROR(H878)),"Error en fórmula: pegá como valores",IF(AND(B878="",$C$6=""),"Falta sector",IF(M878="","Falta capítulo",IF(TRIM(E878)="","Falta unidad",IF(NOT((COUNTIF(Listas!$A$2:$A$40,E878)+COUNTIF(Listas!$D$2:$D$60,E878)&gt;0)),"Unidad no reconocida",IF(AND(F878&lt;&gt;"",NOT(ISNUMBER(F878))),"Cantidad no es número",IF(N(F878)&lt;=0,"Falta cantidad",IF(OR(AND(G878&lt;&gt;"",NOT(ISNUMBER(G878))),AND(H878&lt;&gt;"",NOT(ISNUMBER(H878)))),"Precio no es número",IF(N(G878)+N(H878)&lt;=0,"Falta precio","✓ OK")))))))))))</f>
        <v/>
      </c>
      <c r="M878" t="str">
        <f>IF(N878&lt;&gt;"W","",IF(TRIM(C878)&lt;&gt;"",TRIM(C878),IFERROR(LOOKUP(2,1/(N$9:N878="T"),D$9:D878),"")))</f>
        <v/>
      </c>
      <c r="N878" t="str">
        <f t="shared" si="41"/>
        <v/>
      </c>
      <c r="O878" t="str">
        <f>IF(M878="","",IF(COUNTIF(M$9:M878,M878)=1,MAX(O$8:O877)+1,""))</f>
        <v/>
      </c>
    </row>
    <row r="879" spans="1:15" x14ac:dyDescent="0.75">
      <c r="A879" s="24" t="str">
        <f>IF(N879="W",COUNTIF(N$9:N879,"W"),"")</f>
        <v/>
      </c>
      <c r="B879" s="25"/>
      <c r="C879" s="25"/>
      <c r="D879" s="26"/>
      <c r="E879" s="25"/>
      <c r="F879" s="27"/>
      <c r="G879" s="28"/>
      <c r="H879" s="28"/>
      <c r="I879" s="29" t="str">
        <f t="shared" si="39"/>
        <v/>
      </c>
      <c r="J879" s="30" t="str">
        <f t="shared" si="40"/>
        <v/>
      </c>
      <c r="K879" s="26"/>
      <c r="L879" s="24" t="str">
        <f>IF(N879="","",IF(N879="T","Título de capítulo",IF(OR(ISERROR(F879),ISERROR(G879),ISERROR(H879)),"Error en fórmula: pegá como valores",IF(AND(B879="",$C$6=""),"Falta sector",IF(M879="","Falta capítulo",IF(TRIM(E879)="","Falta unidad",IF(NOT((COUNTIF(Listas!$A$2:$A$40,E879)+COUNTIF(Listas!$D$2:$D$60,E879)&gt;0)),"Unidad no reconocida",IF(AND(F879&lt;&gt;"",NOT(ISNUMBER(F879))),"Cantidad no es número",IF(N(F879)&lt;=0,"Falta cantidad",IF(OR(AND(G879&lt;&gt;"",NOT(ISNUMBER(G879))),AND(H879&lt;&gt;"",NOT(ISNUMBER(H879)))),"Precio no es número",IF(N(G879)+N(H879)&lt;=0,"Falta precio","✓ OK")))))))))))</f>
        <v/>
      </c>
      <c r="M879" t="str">
        <f>IF(N879&lt;&gt;"W","",IF(TRIM(C879)&lt;&gt;"",TRIM(C879),IFERROR(LOOKUP(2,1/(N$9:N879="T"),D$9:D879),"")))</f>
        <v/>
      </c>
      <c r="N879" t="str">
        <f t="shared" si="41"/>
        <v/>
      </c>
      <c r="O879" t="str">
        <f>IF(M879="","",IF(COUNTIF(M$9:M879,M879)=1,MAX(O$8:O878)+1,""))</f>
        <v/>
      </c>
    </row>
    <row r="880" spans="1:15" x14ac:dyDescent="0.75">
      <c r="A880" s="24" t="str">
        <f>IF(N880="W",COUNTIF(N$9:N880,"W"),"")</f>
        <v/>
      </c>
      <c r="B880" s="25"/>
      <c r="C880" s="25"/>
      <c r="D880" s="26"/>
      <c r="E880" s="25"/>
      <c r="F880" s="27"/>
      <c r="G880" s="28"/>
      <c r="H880" s="28"/>
      <c r="I880" s="29" t="str">
        <f t="shared" si="39"/>
        <v/>
      </c>
      <c r="J880" s="30" t="str">
        <f t="shared" si="40"/>
        <v/>
      </c>
      <c r="K880" s="26"/>
      <c r="L880" s="24" t="str">
        <f>IF(N880="","",IF(N880="T","Título de capítulo",IF(OR(ISERROR(F880),ISERROR(G880),ISERROR(H880)),"Error en fórmula: pegá como valores",IF(AND(B880="",$C$6=""),"Falta sector",IF(M880="","Falta capítulo",IF(TRIM(E880)="","Falta unidad",IF(NOT((COUNTIF(Listas!$A$2:$A$40,E880)+COUNTIF(Listas!$D$2:$D$60,E880)&gt;0)),"Unidad no reconocida",IF(AND(F880&lt;&gt;"",NOT(ISNUMBER(F880))),"Cantidad no es número",IF(N(F880)&lt;=0,"Falta cantidad",IF(OR(AND(G880&lt;&gt;"",NOT(ISNUMBER(G880))),AND(H880&lt;&gt;"",NOT(ISNUMBER(H880)))),"Precio no es número",IF(N(G880)+N(H880)&lt;=0,"Falta precio","✓ OK")))))))))))</f>
        <v/>
      </c>
      <c r="M880" t="str">
        <f>IF(N880&lt;&gt;"W","",IF(TRIM(C880)&lt;&gt;"",TRIM(C880),IFERROR(LOOKUP(2,1/(N$9:N880="T"),D$9:D880),"")))</f>
        <v/>
      </c>
      <c r="N880" t="str">
        <f t="shared" si="41"/>
        <v/>
      </c>
      <c r="O880" t="str">
        <f>IF(M880="","",IF(COUNTIF(M$9:M880,M880)=1,MAX(O$8:O879)+1,""))</f>
        <v/>
      </c>
    </row>
    <row r="881" spans="1:15" x14ac:dyDescent="0.75">
      <c r="A881" s="24" t="str">
        <f>IF(N881="W",COUNTIF(N$9:N881,"W"),"")</f>
        <v/>
      </c>
      <c r="B881" s="25"/>
      <c r="C881" s="25"/>
      <c r="D881" s="26"/>
      <c r="E881" s="25"/>
      <c r="F881" s="27"/>
      <c r="G881" s="28"/>
      <c r="H881" s="28"/>
      <c r="I881" s="29" t="str">
        <f t="shared" si="39"/>
        <v/>
      </c>
      <c r="J881" s="30" t="str">
        <f t="shared" si="40"/>
        <v/>
      </c>
      <c r="K881" s="26"/>
      <c r="L881" s="24" t="str">
        <f>IF(N881="","",IF(N881="T","Título de capítulo",IF(OR(ISERROR(F881),ISERROR(G881),ISERROR(H881)),"Error en fórmula: pegá como valores",IF(AND(B881="",$C$6=""),"Falta sector",IF(M881="","Falta capítulo",IF(TRIM(E881)="","Falta unidad",IF(NOT((COUNTIF(Listas!$A$2:$A$40,E881)+COUNTIF(Listas!$D$2:$D$60,E881)&gt;0)),"Unidad no reconocida",IF(AND(F881&lt;&gt;"",NOT(ISNUMBER(F881))),"Cantidad no es número",IF(N(F881)&lt;=0,"Falta cantidad",IF(OR(AND(G881&lt;&gt;"",NOT(ISNUMBER(G881))),AND(H881&lt;&gt;"",NOT(ISNUMBER(H881)))),"Precio no es número",IF(N(G881)+N(H881)&lt;=0,"Falta precio","✓ OK")))))))))))</f>
        <v/>
      </c>
      <c r="M881" t="str">
        <f>IF(N881&lt;&gt;"W","",IF(TRIM(C881)&lt;&gt;"",TRIM(C881),IFERROR(LOOKUP(2,1/(N$9:N881="T"),D$9:D881),"")))</f>
        <v/>
      </c>
      <c r="N881" t="str">
        <f t="shared" si="41"/>
        <v/>
      </c>
      <c r="O881" t="str">
        <f>IF(M881="","",IF(COUNTIF(M$9:M881,M881)=1,MAX(O$8:O880)+1,""))</f>
        <v/>
      </c>
    </row>
    <row r="882" spans="1:15" x14ac:dyDescent="0.75">
      <c r="A882" s="24" t="str">
        <f>IF(N882="W",COUNTIF(N$9:N882,"W"),"")</f>
        <v/>
      </c>
      <c r="B882" s="25"/>
      <c r="C882" s="25"/>
      <c r="D882" s="26"/>
      <c r="E882" s="25"/>
      <c r="F882" s="27"/>
      <c r="G882" s="28"/>
      <c r="H882" s="28"/>
      <c r="I882" s="29" t="str">
        <f t="shared" si="39"/>
        <v/>
      </c>
      <c r="J882" s="30" t="str">
        <f t="shared" si="40"/>
        <v/>
      </c>
      <c r="K882" s="26"/>
      <c r="L882" s="24" t="str">
        <f>IF(N882="","",IF(N882="T","Título de capítulo",IF(OR(ISERROR(F882),ISERROR(G882),ISERROR(H882)),"Error en fórmula: pegá como valores",IF(AND(B882="",$C$6=""),"Falta sector",IF(M882="","Falta capítulo",IF(TRIM(E882)="","Falta unidad",IF(NOT((COUNTIF(Listas!$A$2:$A$40,E882)+COUNTIF(Listas!$D$2:$D$60,E882)&gt;0)),"Unidad no reconocida",IF(AND(F882&lt;&gt;"",NOT(ISNUMBER(F882))),"Cantidad no es número",IF(N(F882)&lt;=0,"Falta cantidad",IF(OR(AND(G882&lt;&gt;"",NOT(ISNUMBER(G882))),AND(H882&lt;&gt;"",NOT(ISNUMBER(H882)))),"Precio no es número",IF(N(G882)+N(H882)&lt;=0,"Falta precio","✓ OK")))))))))))</f>
        <v/>
      </c>
      <c r="M882" t="str">
        <f>IF(N882&lt;&gt;"W","",IF(TRIM(C882)&lt;&gt;"",TRIM(C882),IFERROR(LOOKUP(2,1/(N$9:N882="T"),D$9:D882),"")))</f>
        <v/>
      </c>
      <c r="N882" t="str">
        <f t="shared" si="41"/>
        <v/>
      </c>
      <c r="O882" t="str">
        <f>IF(M882="","",IF(COUNTIF(M$9:M882,M882)=1,MAX(O$8:O881)+1,""))</f>
        <v/>
      </c>
    </row>
    <row r="883" spans="1:15" x14ac:dyDescent="0.75">
      <c r="A883" s="24" t="str">
        <f>IF(N883="W",COUNTIF(N$9:N883,"W"),"")</f>
        <v/>
      </c>
      <c r="B883" s="25"/>
      <c r="C883" s="25"/>
      <c r="D883" s="26"/>
      <c r="E883" s="25"/>
      <c r="F883" s="27"/>
      <c r="G883" s="28"/>
      <c r="H883" s="28"/>
      <c r="I883" s="29" t="str">
        <f t="shared" si="39"/>
        <v/>
      </c>
      <c r="J883" s="30" t="str">
        <f t="shared" si="40"/>
        <v/>
      </c>
      <c r="K883" s="26"/>
      <c r="L883" s="24" t="str">
        <f>IF(N883="","",IF(N883="T","Título de capítulo",IF(OR(ISERROR(F883),ISERROR(G883),ISERROR(H883)),"Error en fórmula: pegá como valores",IF(AND(B883="",$C$6=""),"Falta sector",IF(M883="","Falta capítulo",IF(TRIM(E883)="","Falta unidad",IF(NOT((COUNTIF(Listas!$A$2:$A$40,E883)+COUNTIF(Listas!$D$2:$D$60,E883)&gt;0)),"Unidad no reconocida",IF(AND(F883&lt;&gt;"",NOT(ISNUMBER(F883))),"Cantidad no es número",IF(N(F883)&lt;=0,"Falta cantidad",IF(OR(AND(G883&lt;&gt;"",NOT(ISNUMBER(G883))),AND(H883&lt;&gt;"",NOT(ISNUMBER(H883)))),"Precio no es número",IF(N(G883)+N(H883)&lt;=0,"Falta precio","✓ OK")))))))))))</f>
        <v/>
      </c>
      <c r="M883" t="str">
        <f>IF(N883&lt;&gt;"W","",IF(TRIM(C883)&lt;&gt;"",TRIM(C883),IFERROR(LOOKUP(2,1/(N$9:N883="T"),D$9:D883),"")))</f>
        <v/>
      </c>
      <c r="N883" t="str">
        <f t="shared" si="41"/>
        <v/>
      </c>
      <c r="O883" t="str">
        <f>IF(M883="","",IF(COUNTIF(M$9:M883,M883)=1,MAX(O$8:O882)+1,""))</f>
        <v/>
      </c>
    </row>
    <row r="884" spans="1:15" x14ac:dyDescent="0.75">
      <c r="A884" s="24" t="str">
        <f>IF(N884="W",COUNTIF(N$9:N884,"W"),"")</f>
        <v/>
      </c>
      <c r="B884" s="25"/>
      <c r="C884" s="25"/>
      <c r="D884" s="26"/>
      <c r="E884" s="25"/>
      <c r="F884" s="27"/>
      <c r="G884" s="28"/>
      <c r="H884" s="28"/>
      <c r="I884" s="29" t="str">
        <f t="shared" si="39"/>
        <v/>
      </c>
      <c r="J884" s="30" t="str">
        <f t="shared" si="40"/>
        <v/>
      </c>
      <c r="K884" s="26"/>
      <c r="L884" s="24" t="str">
        <f>IF(N884="","",IF(N884="T","Título de capítulo",IF(OR(ISERROR(F884),ISERROR(G884),ISERROR(H884)),"Error en fórmula: pegá como valores",IF(AND(B884="",$C$6=""),"Falta sector",IF(M884="","Falta capítulo",IF(TRIM(E884)="","Falta unidad",IF(NOT((COUNTIF(Listas!$A$2:$A$40,E884)+COUNTIF(Listas!$D$2:$D$60,E884)&gt;0)),"Unidad no reconocida",IF(AND(F884&lt;&gt;"",NOT(ISNUMBER(F884))),"Cantidad no es número",IF(N(F884)&lt;=0,"Falta cantidad",IF(OR(AND(G884&lt;&gt;"",NOT(ISNUMBER(G884))),AND(H884&lt;&gt;"",NOT(ISNUMBER(H884)))),"Precio no es número",IF(N(G884)+N(H884)&lt;=0,"Falta precio","✓ OK")))))))))))</f>
        <v/>
      </c>
      <c r="M884" t="str">
        <f>IF(N884&lt;&gt;"W","",IF(TRIM(C884)&lt;&gt;"",TRIM(C884),IFERROR(LOOKUP(2,1/(N$9:N884="T"),D$9:D884),"")))</f>
        <v/>
      </c>
      <c r="N884" t="str">
        <f t="shared" si="41"/>
        <v/>
      </c>
      <c r="O884" t="str">
        <f>IF(M884="","",IF(COUNTIF(M$9:M884,M884)=1,MAX(O$8:O883)+1,""))</f>
        <v/>
      </c>
    </row>
    <row r="885" spans="1:15" x14ac:dyDescent="0.75">
      <c r="A885" s="24" t="str">
        <f>IF(N885="W",COUNTIF(N$9:N885,"W"),"")</f>
        <v/>
      </c>
      <c r="B885" s="25"/>
      <c r="C885" s="25"/>
      <c r="D885" s="26"/>
      <c r="E885" s="25"/>
      <c r="F885" s="27"/>
      <c r="G885" s="28"/>
      <c r="H885" s="28"/>
      <c r="I885" s="29" t="str">
        <f t="shared" si="39"/>
        <v/>
      </c>
      <c r="J885" s="30" t="str">
        <f t="shared" si="40"/>
        <v/>
      </c>
      <c r="K885" s="26"/>
      <c r="L885" s="24" t="str">
        <f>IF(N885="","",IF(N885="T","Título de capítulo",IF(OR(ISERROR(F885),ISERROR(G885),ISERROR(H885)),"Error en fórmula: pegá como valores",IF(AND(B885="",$C$6=""),"Falta sector",IF(M885="","Falta capítulo",IF(TRIM(E885)="","Falta unidad",IF(NOT((COUNTIF(Listas!$A$2:$A$40,E885)+COUNTIF(Listas!$D$2:$D$60,E885)&gt;0)),"Unidad no reconocida",IF(AND(F885&lt;&gt;"",NOT(ISNUMBER(F885))),"Cantidad no es número",IF(N(F885)&lt;=0,"Falta cantidad",IF(OR(AND(G885&lt;&gt;"",NOT(ISNUMBER(G885))),AND(H885&lt;&gt;"",NOT(ISNUMBER(H885)))),"Precio no es número",IF(N(G885)+N(H885)&lt;=0,"Falta precio","✓ OK")))))))))))</f>
        <v/>
      </c>
      <c r="M885" t="str">
        <f>IF(N885&lt;&gt;"W","",IF(TRIM(C885)&lt;&gt;"",TRIM(C885),IFERROR(LOOKUP(2,1/(N$9:N885="T"),D$9:D885),"")))</f>
        <v/>
      </c>
      <c r="N885" t="str">
        <f t="shared" si="41"/>
        <v/>
      </c>
      <c r="O885" t="str">
        <f>IF(M885="","",IF(COUNTIF(M$9:M885,M885)=1,MAX(O$8:O884)+1,""))</f>
        <v/>
      </c>
    </row>
    <row r="886" spans="1:15" x14ac:dyDescent="0.75">
      <c r="A886" s="24" t="str">
        <f>IF(N886="W",COUNTIF(N$9:N886,"W"),"")</f>
        <v/>
      </c>
      <c r="B886" s="25"/>
      <c r="C886" s="25"/>
      <c r="D886" s="26"/>
      <c r="E886" s="25"/>
      <c r="F886" s="27"/>
      <c r="G886" s="28"/>
      <c r="H886" s="28"/>
      <c r="I886" s="29" t="str">
        <f t="shared" si="39"/>
        <v/>
      </c>
      <c r="J886" s="30" t="str">
        <f t="shared" si="40"/>
        <v/>
      </c>
      <c r="K886" s="26"/>
      <c r="L886" s="24" t="str">
        <f>IF(N886="","",IF(N886="T","Título de capítulo",IF(OR(ISERROR(F886),ISERROR(G886),ISERROR(H886)),"Error en fórmula: pegá como valores",IF(AND(B886="",$C$6=""),"Falta sector",IF(M886="","Falta capítulo",IF(TRIM(E886)="","Falta unidad",IF(NOT((COUNTIF(Listas!$A$2:$A$40,E886)+COUNTIF(Listas!$D$2:$D$60,E886)&gt;0)),"Unidad no reconocida",IF(AND(F886&lt;&gt;"",NOT(ISNUMBER(F886))),"Cantidad no es número",IF(N(F886)&lt;=0,"Falta cantidad",IF(OR(AND(G886&lt;&gt;"",NOT(ISNUMBER(G886))),AND(H886&lt;&gt;"",NOT(ISNUMBER(H886)))),"Precio no es número",IF(N(G886)+N(H886)&lt;=0,"Falta precio","✓ OK")))))))))))</f>
        <v/>
      </c>
      <c r="M886" t="str">
        <f>IF(N886&lt;&gt;"W","",IF(TRIM(C886)&lt;&gt;"",TRIM(C886),IFERROR(LOOKUP(2,1/(N$9:N886="T"),D$9:D886),"")))</f>
        <v/>
      </c>
      <c r="N886" t="str">
        <f t="shared" si="41"/>
        <v/>
      </c>
      <c r="O886" t="str">
        <f>IF(M886="","",IF(COUNTIF(M$9:M886,M886)=1,MAX(O$8:O885)+1,""))</f>
        <v/>
      </c>
    </row>
    <row r="887" spans="1:15" x14ac:dyDescent="0.75">
      <c r="A887" s="24" t="str">
        <f>IF(N887="W",COUNTIF(N$9:N887,"W"),"")</f>
        <v/>
      </c>
      <c r="B887" s="25"/>
      <c r="C887" s="25"/>
      <c r="D887" s="26"/>
      <c r="E887" s="25"/>
      <c r="F887" s="27"/>
      <c r="G887" s="28"/>
      <c r="H887" s="28"/>
      <c r="I887" s="29" t="str">
        <f t="shared" si="39"/>
        <v/>
      </c>
      <c r="J887" s="30" t="str">
        <f t="shared" si="40"/>
        <v/>
      </c>
      <c r="K887" s="26"/>
      <c r="L887" s="24" t="str">
        <f>IF(N887="","",IF(N887="T","Título de capítulo",IF(OR(ISERROR(F887),ISERROR(G887),ISERROR(H887)),"Error en fórmula: pegá como valores",IF(AND(B887="",$C$6=""),"Falta sector",IF(M887="","Falta capítulo",IF(TRIM(E887)="","Falta unidad",IF(NOT((COUNTIF(Listas!$A$2:$A$40,E887)+COUNTIF(Listas!$D$2:$D$60,E887)&gt;0)),"Unidad no reconocida",IF(AND(F887&lt;&gt;"",NOT(ISNUMBER(F887))),"Cantidad no es número",IF(N(F887)&lt;=0,"Falta cantidad",IF(OR(AND(G887&lt;&gt;"",NOT(ISNUMBER(G887))),AND(H887&lt;&gt;"",NOT(ISNUMBER(H887)))),"Precio no es número",IF(N(G887)+N(H887)&lt;=0,"Falta precio","✓ OK")))))))))))</f>
        <v/>
      </c>
      <c r="M887" t="str">
        <f>IF(N887&lt;&gt;"W","",IF(TRIM(C887)&lt;&gt;"",TRIM(C887),IFERROR(LOOKUP(2,1/(N$9:N887="T"),D$9:D887),"")))</f>
        <v/>
      </c>
      <c r="N887" t="str">
        <f t="shared" si="41"/>
        <v/>
      </c>
      <c r="O887" t="str">
        <f>IF(M887="","",IF(COUNTIF(M$9:M887,M887)=1,MAX(O$8:O886)+1,""))</f>
        <v/>
      </c>
    </row>
    <row r="888" spans="1:15" x14ac:dyDescent="0.75">
      <c r="A888" s="24" t="str">
        <f>IF(N888="W",COUNTIF(N$9:N888,"W"),"")</f>
        <v/>
      </c>
      <c r="B888" s="25"/>
      <c r="C888" s="25"/>
      <c r="D888" s="26"/>
      <c r="E888" s="25"/>
      <c r="F888" s="27"/>
      <c r="G888" s="28"/>
      <c r="H888" s="28"/>
      <c r="I888" s="29" t="str">
        <f t="shared" si="39"/>
        <v/>
      </c>
      <c r="J888" s="30" t="str">
        <f t="shared" si="40"/>
        <v/>
      </c>
      <c r="K888" s="26"/>
      <c r="L888" s="24" t="str">
        <f>IF(N888="","",IF(N888="T","Título de capítulo",IF(OR(ISERROR(F888),ISERROR(G888),ISERROR(H888)),"Error en fórmula: pegá como valores",IF(AND(B888="",$C$6=""),"Falta sector",IF(M888="","Falta capítulo",IF(TRIM(E888)="","Falta unidad",IF(NOT((COUNTIF(Listas!$A$2:$A$40,E888)+COUNTIF(Listas!$D$2:$D$60,E888)&gt;0)),"Unidad no reconocida",IF(AND(F888&lt;&gt;"",NOT(ISNUMBER(F888))),"Cantidad no es número",IF(N(F888)&lt;=0,"Falta cantidad",IF(OR(AND(G888&lt;&gt;"",NOT(ISNUMBER(G888))),AND(H888&lt;&gt;"",NOT(ISNUMBER(H888)))),"Precio no es número",IF(N(G888)+N(H888)&lt;=0,"Falta precio","✓ OK")))))))))))</f>
        <v/>
      </c>
      <c r="M888" t="str">
        <f>IF(N888&lt;&gt;"W","",IF(TRIM(C888)&lt;&gt;"",TRIM(C888),IFERROR(LOOKUP(2,1/(N$9:N888="T"),D$9:D888),"")))</f>
        <v/>
      </c>
      <c r="N888" t="str">
        <f t="shared" si="41"/>
        <v/>
      </c>
      <c r="O888" t="str">
        <f>IF(M888="","",IF(COUNTIF(M$9:M888,M888)=1,MAX(O$8:O887)+1,""))</f>
        <v/>
      </c>
    </row>
    <row r="889" spans="1:15" x14ac:dyDescent="0.75">
      <c r="A889" s="24" t="str">
        <f>IF(N889="W",COUNTIF(N$9:N889,"W"),"")</f>
        <v/>
      </c>
      <c r="B889" s="25"/>
      <c r="C889" s="25"/>
      <c r="D889" s="26"/>
      <c r="E889" s="25"/>
      <c r="F889" s="27"/>
      <c r="G889" s="28"/>
      <c r="H889" s="28"/>
      <c r="I889" s="29" t="str">
        <f t="shared" si="39"/>
        <v/>
      </c>
      <c r="J889" s="30" t="str">
        <f t="shared" si="40"/>
        <v/>
      </c>
      <c r="K889" s="26"/>
      <c r="L889" s="24" t="str">
        <f>IF(N889="","",IF(N889="T","Título de capítulo",IF(OR(ISERROR(F889),ISERROR(G889),ISERROR(H889)),"Error en fórmula: pegá como valores",IF(AND(B889="",$C$6=""),"Falta sector",IF(M889="","Falta capítulo",IF(TRIM(E889)="","Falta unidad",IF(NOT((COUNTIF(Listas!$A$2:$A$40,E889)+COUNTIF(Listas!$D$2:$D$60,E889)&gt;0)),"Unidad no reconocida",IF(AND(F889&lt;&gt;"",NOT(ISNUMBER(F889))),"Cantidad no es número",IF(N(F889)&lt;=0,"Falta cantidad",IF(OR(AND(G889&lt;&gt;"",NOT(ISNUMBER(G889))),AND(H889&lt;&gt;"",NOT(ISNUMBER(H889)))),"Precio no es número",IF(N(G889)+N(H889)&lt;=0,"Falta precio","✓ OK")))))))))))</f>
        <v/>
      </c>
      <c r="M889" t="str">
        <f>IF(N889&lt;&gt;"W","",IF(TRIM(C889)&lt;&gt;"",TRIM(C889),IFERROR(LOOKUP(2,1/(N$9:N889="T"),D$9:D889),"")))</f>
        <v/>
      </c>
      <c r="N889" t="str">
        <f t="shared" si="41"/>
        <v/>
      </c>
      <c r="O889" t="str">
        <f>IF(M889="","",IF(COUNTIF(M$9:M889,M889)=1,MAX(O$8:O888)+1,""))</f>
        <v/>
      </c>
    </row>
    <row r="890" spans="1:15" x14ac:dyDescent="0.75">
      <c r="A890" s="24" t="str">
        <f>IF(N890="W",COUNTIF(N$9:N890,"W"),"")</f>
        <v/>
      </c>
      <c r="B890" s="25"/>
      <c r="C890" s="25"/>
      <c r="D890" s="26"/>
      <c r="E890" s="25"/>
      <c r="F890" s="27"/>
      <c r="G890" s="28"/>
      <c r="H890" s="28"/>
      <c r="I890" s="29" t="str">
        <f t="shared" si="39"/>
        <v/>
      </c>
      <c r="J890" s="30" t="str">
        <f t="shared" si="40"/>
        <v/>
      </c>
      <c r="K890" s="26"/>
      <c r="L890" s="24" t="str">
        <f>IF(N890="","",IF(N890="T","Título de capítulo",IF(OR(ISERROR(F890),ISERROR(G890),ISERROR(H890)),"Error en fórmula: pegá como valores",IF(AND(B890="",$C$6=""),"Falta sector",IF(M890="","Falta capítulo",IF(TRIM(E890)="","Falta unidad",IF(NOT((COUNTIF(Listas!$A$2:$A$40,E890)+COUNTIF(Listas!$D$2:$D$60,E890)&gt;0)),"Unidad no reconocida",IF(AND(F890&lt;&gt;"",NOT(ISNUMBER(F890))),"Cantidad no es número",IF(N(F890)&lt;=0,"Falta cantidad",IF(OR(AND(G890&lt;&gt;"",NOT(ISNUMBER(G890))),AND(H890&lt;&gt;"",NOT(ISNUMBER(H890)))),"Precio no es número",IF(N(G890)+N(H890)&lt;=0,"Falta precio","✓ OK")))))))))))</f>
        <v/>
      </c>
      <c r="M890" t="str">
        <f>IF(N890&lt;&gt;"W","",IF(TRIM(C890)&lt;&gt;"",TRIM(C890),IFERROR(LOOKUP(2,1/(N$9:N890="T"),D$9:D890),"")))</f>
        <v/>
      </c>
      <c r="N890" t="str">
        <f t="shared" si="41"/>
        <v/>
      </c>
      <c r="O890" t="str">
        <f>IF(M890="","",IF(COUNTIF(M$9:M890,M890)=1,MAX(O$8:O889)+1,""))</f>
        <v/>
      </c>
    </row>
    <row r="891" spans="1:15" x14ac:dyDescent="0.75">
      <c r="A891" s="24" t="str">
        <f>IF(N891="W",COUNTIF(N$9:N891,"W"),"")</f>
        <v/>
      </c>
      <c r="B891" s="25"/>
      <c r="C891" s="25"/>
      <c r="D891" s="26"/>
      <c r="E891" s="25"/>
      <c r="F891" s="27"/>
      <c r="G891" s="28"/>
      <c r="H891" s="28"/>
      <c r="I891" s="29" t="str">
        <f t="shared" si="39"/>
        <v/>
      </c>
      <c r="J891" s="30" t="str">
        <f t="shared" si="40"/>
        <v/>
      </c>
      <c r="K891" s="26"/>
      <c r="L891" s="24" t="str">
        <f>IF(N891="","",IF(N891="T","Título de capítulo",IF(OR(ISERROR(F891),ISERROR(G891),ISERROR(H891)),"Error en fórmula: pegá como valores",IF(AND(B891="",$C$6=""),"Falta sector",IF(M891="","Falta capítulo",IF(TRIM(E891)="","Falta unidad",IF(NOT((COUNTIF(Listas!$A$2:$A$40,E891)+COUNTIF(Listas!$D$2:$D$60,E891)&gt;0)),"Unidad no reconocida",IF(AND(F891&lt;&gt;"",NOT(ISNUMBER(F891))),"Cantidad no es número",IF(N(F891)&lt;=0,"Falta cantidad",IF(OR(AND(G891&lt;&gt;"",NOT(ISNUMBER(G891))),AND(H891&lt;&gt;"",NOT(ISNUMBER(H891)))),"Precio no es número",IF(N(G891)+N(H891)&lt;=0,"Falta precio","✓ OK")))))))))))</f>
        <v/>
      </c>
      <c r="M891" t="str">
        <f>IF(N891&lt;&gt;"W","",IF(TRIM(C891)&lt;&gt;"",TRIM(C891),IFERROR(LOOKUP(2,1/(N$9:N891="T"),D$9:D891),"")))</f>
        <v/>
      </c>
      <c r="N891" t="str">
        <f t="shared" si="41"/>
        <v/>
      </c>
      <c r="O891" t="str">
        <f>IF(M891="","",IF(COUNTIF(M$9:M891,M891)=1,MAX(O$8:O890)+1,""))</f>
        <v/>
      </c>
    </row>
    <row r="892" spans="1:15" x14ac:dyDescent="0.75">
      <c r="A892" s="24" t="str">
        <f>IF(N892="W",COUNTIF(N$9:N892,"W"),"")</f>
        <v/>
      </c>
      <c r="B892" s="25"/>
      <c r="C892" s="25"/>
      <c r="D892" s="26"/>
      <c r="E892" s="25"/>
      <c r="F892" s="27"/>
      <c r="G892" s="28"/>
      <c r="H892" s="28"/>
      <c r="I892" s="29" t="str">
        <f t="shared" si="39"/>
        <v/>
      </c>
      <c r="J892" s="30" t="str">
        <f t="shared" si="40"/>
        <v/>
      </c>
      <c r="K892" s="26"/>
      <c r="L892" s="24" t="str">
        <f>IF(N892="","",IF(N892="T","Título de capítulo",IF(OR(ISERROR(F892),ISERROR(G892),ISERROR(H892)),"Error en fórmula: pegá como valores",IF(AND(B892="",$C$6=""),"Falta sector",IF(M892="","Falta capítulo",IF(TRIM(E892)="","Falta unidad",IF(NOT((COUNTIF(Listas!$A$2:$A$40,E892)+COUNTIF(Listas!$D$2:$D$60,E892)&gt;0)),"Unidad no reconocida",IF(AND(F892&lt;&gt;"",NOT(ISNUMBER(F892))),"Cantidad no es número",IF(N(F892)&lt;=0,"Falta cantidad",IF(OR(AND(G892&lt;&gt;"",NOT(ISNUMBER(G892))),AND(H892&lt;&gt;"",NOT(ISNUMBER(H892)))),"Precio no es número",IF(N(G892)+N(H892)&lt;=0,"Falta precio","✓ OK")))))))))))</f>
        <v/>
      </c>
      <c r="M892" t="str">
        <f>IF(N892&lt;&gt;"W","",IF(TRIM(C892)&lt;&gt;"",TRIM(C892),IFERROR(LOOKUP(2,1/(N$9:N892="T"),D$9:D892),"")))</f>
        <v/>
      </c>
      <c r="N892" t="str">
        <f t="shared" si="41"/>
        <v/>
      </c>
      <c r="O892" t="str">
        <f>IF(M892="","",IF(COUNTIF(M$9:M892,M892)=1,MAX(O$8:O891)+1,""))</f>
        <v/>
      </c>
    </row>
    <row r="893" spans="1:15" x14ac:dyDescent="0.75">
      <c r="A893" s="24" t="str">
        <f>IF(N893="W",COUNTIF(N$9:N893,"W"),"")</f>
        <v/>
      </c>
      <c r="B893" s="25"/>
      <c r="C893" s="25"/>
      <c r="D893" s="26"/>
      <c r="E893" s="25"/>
      <c r="F893" s="27"/>
      <c r="G893" s="28"/>
      <c r="H893" s="28"/>
      <c r="I893" s="29" t="str">
        <f t="shared" si="39"/>
        <v/>
      </c>
      <c r="J893" s="30" t="str">
        <f t="shared" si="40"/>
        <v/>
      </c>
      <c r="K893" s="26"/>
      <c r="L893" s="24" t="str">
        <f>IF(N893="","",IF(N893="T","Título de capítulo",IF(OR(ISERROR(F893),ISERROR(G893),ISERROR(H893)),"Error en fórmula: pegá como valores",IF(AND(B893="",$C$6=""),"Falta sector",IF(M893="","Falta capítulo",IF(TRIM(E893)="","Falta unidad",IF(NOT((COUNTIF(Listas!$A$2:$A$40,E893)+COUNTIF(Listas!$D$2:$D$60,E893)&gt;0)),"Unidad no reconocida",IF(AND(F893&lt;&gt;"",NOT(ISNUMBER(F893))),"Cantidad no es número",IF(N(F893)&lt;=0,"Falta cantidad",IF(OR(AND(G893&lt;&gt;"",NOT(ISNUMBER(G893))),AND(H893&lt;&gt;"",NOT(ISNUMBER(H893)))),"Precio no es número",IF(N(G893)+N(H893)&lt;=0,"Falta precio","✓ OK")))))))))))</f>
        <v/>
      </c>
      <c r="M893" t="str">
        <f>IF(N893&lt;&gt;"W","",IF(TRIM(C893)&lt;&gt;"",TRIM(C893),IFERROR(LOOKUP(2,1/(N$9:N893="T"),D$9:D893),"")))</f>
        <v/>
      </c>
      <c r="N893" t="str">
        <f t="shared" si="41"/>
        <v/>
      </c>
      <c r="O893" t="str">
        <f>IF(M893="","",IF(COUNTIF(M$9:M893,M893)=1,MAX(O$8:O892)+1,""))</f>
        <v/>
      </c>
    </row>
    <row r="894" spans="1:15" x14ac:dyDescent="0.75">
      <c r="A894" s="24" t="str">
        <f>IF(N894="W",COUNTIF(N$9:N894,"W"),"")</f>
        <v/>
      </c>
      <c r="B894" s="25"/>
      <c r="C894" s="25"/>
      <c r="D894" s="26"/>
      <c r="E894" s="25"/>
      <c r="F894" s="27"/>
      <c r="G894" s="28"/>
      <c r="H894" s="28"/>
      <c r="I894" s="29" t="str">
        <f t="shared" si="39"/>
        <v/>
      </c>
      <c r="J894" s="30" t="str">
        <f t="shared" si="40"/>
        <v/>
      </c>
      <c r="K894" s="26"/>
      <c r="L894" s="24" t="str">
        <f>IF(N894="","",IF(N894="T","Título de capítulo",IF(OR(ISERROR(F894),ISERROR(G894),ISERROR(H894)),"Error en fórmula: pegá como valores",IF(AND(B894="",$C$6=""),"Falta sector",IF(M894="","Falta capítulo",IF(TRIM(E894)="","Falta unidad",IF(NOT((COUNTIF(Listas!$A$2:$A$40,E894)+COUNTIF(Listas!$D$2:$D$60,E894)&gt;0)),"Unidad no reconocida",IF(AND(F894&lt;&gt;"",NOT(ISNUMBER(F894))),"Cantidad no es número",IF(N(F894)&lt;=0,"Falta cantidad",IF(OR(AND(G894&lt;&gt;"",NOT(ISNUMBER(G894))),AND(H894&lt;&gt;"",NOT(ISNUMBER(H894)))),"Precio no es número",IF(N(G894)+N(H894)&lt;=0,"Falta precio","✓ OK")))))))))))</f>
        <v/>
      </c>
      <c r="M894" t="str">
        <f>IF(N894&lt;&gt;"W","",IF(TRIM(C894)&lt;&gt;"",TRIM(C894),IFERROR(LOOKUP(2,1/(N$9:N894="T"),D$9:D894),"")))</f>
        <v/>
      </c>
      <c r="N894" t="str">
        <f t="shared" si="41"/>
        <v/>
      </c>
      <c r="O894" t="str">
        <f>IF(M894="","",IF(COUNTIF(M$9:M894,M894)=1,MAX(O$8:O893)+1,""))</f>
        <v/>
      </c>
    </row>
    <row r="895" spans="1:15" x14ac:dyDescent="0.75">
      <c r="A895" s="24" t="str">
        <f>IF(N895="W",COUNTIF(N$9:N895,"W"),"")</f>
        <v/>
      </c>
      <c r="B895" s="25"/>
      <c r="C895" s="25"/>
      <c r="D895" s="26"/>
      <c r="E895" s="25"/>
      <c r="F895" s="27"/>
      <c r="G895" s="28"/>
      <c r="H895" s="28"/>
      <c r="I895" s="29" t="str">
        <f t="shared" si="39"/>
        <v/>
      </c>
      <c r="J895" s="30" t="str">
        <f t="shared" si="40"/>
        <v/>
      </c>
      <c r="K895" s="26"/>
      <c r="L895" s="24" t="str">
        <f>IF(N895="","",IF(N895="T","Título de capítulo",IF(OR(ISERROR(F895),ISERROR(G895),ISERROR(H895)),"Error en fórmula: pegá como valores",IF(AND(B895="",$C$6=""),"Falta sector",IF(M895="","Falta capítulo",IF(TRIM(E895)="","Falta unidad",IF(NOT((COUNTIF(Listas!$A$2:$A$40,E895)+COUNTIF(Listas!$D$2:$D$60,E895)&gt;0)),"Unidad no reconocida",IF(AND(F895&lt;&gt;"",NOT(ISNUMBER(F895))),"Cantidad no es número",IF(N(F895)&lt;=0,"Falta cantidad",IF(OR(AND(G895&lt;&gt;"",NOT(ISNUMBER(G895))),AND(H895&lt;&gt;"",NOT(ISNUMBER(H895)))),"Precio no es número",IF(N(G895)+N(H895)&lt;=0,"Falta precio","✓ OK")))))))))))</f>
        <v/>
      </c>
      <c r="M895" t="str">
        <f>IF(N895&lt;&gt;"W","",IF(TRIM(C895)&lt;&gt;"",TRIM(C895),IFERROR(LOOKUP(2,1/(N$9:N895="T"),D$9:D895),"")))</f>
        <v/>
      </c>
      <c r="N895" t="str">
        <f t="shared" si="41"/>
        <v/>
      </c>
      <c r="O895" t="str">
        <f>IF(M895="","",IF(COUNTIF(M$9:M895,M895)=1,MAX(O$8:O894)+1,""))</f>
        <v/>
      </c>
    </row>
    <row r="896" spans="1:15" x14ac:dyDescent="0.75">
      <c r="A896" s="24" t="str">
        <f>IF(N896="W",COUNTIF(N$9:N896,"W"),"")</f>
        <v/>
      </c>
      <c r="B896" s="25"/>
      <c r="C896" s="25"/>
      <c r="D896" s="26"/>
      <c r="E896" s="25"/>
      <c r="F896" s="27"/>
      <c r="G896" s="28"/>
      <c r="H896" s="28"/>
      <c r="I896" s="29" t="str">
        <f t="shared" si="39"/>
        <v/>
      </c>
      <c r="J896" s="30" t="str">
        <f t="shared" si="40"/>
        <v/>
      </c>
      <c r="K896" s="26"/>
      <c r="L896" s="24" t="str">
        <f>IF(N896="","",IF(N896="T","Título de capítulo",IF(OR(ISERROR(F896),ISERROR(G896),ISERROR(H896)),"Error en fórmula: pegá como valores",IF(AND(B896="",$C$6=""),"Falta sector",IF(M896="","Falta capítulo",IF(TRIM(E896)="","Falta unidad",IF(NOT((COUNTIF(Listas!$A$2:$A$40,E896)+COUNTIF(Listas!$D$2:$D$60,E896)&gt;0)),"Unidad no reconocida",IF(AND(F896&lt;&gt;"",NOT(ISNUMBER(F896))),"Cantidad no es número",IF(N(F896)&lt;=0,"Falta cantidad",IF(OR(AND(G896&lt;&gt;"",NOT(ISNUMBER(G896))),AND(H896&lt;&gt;"",NOT(ISNUMBER(H896)))),"Precio no es número",IF(N(G896)+N(H896)&lt;=0,"Falta precio","✓ OK")))))))))))</f>
        <v/>
      </c>
      <c r="M896" t="str">
        <f>IF(N896&lt;&gt;"W","",IF(TRIM(C896)&lt;&gt;"",TRIM(C896),IFERROR(LOOKUP(2,1/(N$9:N896="T"),D$9:D896),"")))</f>
        <v/>
      </c>
      <c r="N896" t="str">
        <f t="shared" si="41"/>
        <v/>
      </c>
      <c r="O896" t="str">
        <f>IF(M896="","",IF(COUNTIF(M$9:M896,M896)=1,MAX(O$8:O895)+1,""))</f>
        <v/>
      </c>
    </row>
    <row r="897" spans="1:15" x14ac:dyDescent="0.75">
      <c r="A897" s="24" t="str">
        <f>IF(N897="W",COUNTIF(N$9:N897,"W"),"")</f>
        <v/>
      </c>
      <c r="B897" s="25"/>
      <c r="C897" s="25"/>
      <c r="D897" s="26"/>
      <c r="E897" s="25"/>
      <c r="F897" s="27"/>
      <c r="G897" s="28"/>
      <c r="H897" s="28"/>
      <c r="I897" s="29" t="str">
        <f t="shared" si="39"/>
        <v/>
      </c>
      <c r="J897" s="30" t="str">
        <f t="shared" si="40"/>
        <v/>
      </c>
      <c r="K897" s="26"/>
      <c r="L897" s="24" t="str">
        <f>IF(N897="","",IF(N897="T","Título de capítulo",IF(OR(ISERROR(F897),ISERROR(G897),ISERROR(H897)),"Error en fórmula: pegá como valores",IF(AND(B897="",$C$6=""),"Falta sector",IF(M897="","Falta capítulo",IF(TRIM(E897)="","Falta unidad",IF(NOT((COUNTIF(Listas!$A$2:$A$40,E897)+COUNTIF(Listas!$D$2:$D$60,E897)&gt;0)),"Unidad no reconocida",IF(AND(F897&lt;&gt;"",NOT(ISNUMBER(F897))),"Cantidad no es número",IF(N(F897)&lt;=0,"Falta cantidad",IF(OR(AND(G897&lt;&gt;"",NOT(ISNUMBER(G897))),AND(H897&lt;&gt;"",NOT(ISNUMBER(H897)))),"Precio no es número",IF(N(G897)+N(H897)&lt;=0,"Falta precio","✓ OK")))))))))))</f>
        <v/>
      </c>
      <c r="M897" t="str">
        <f>IF(N897&lt;&gt;"W","",IF(TRIM(C897)&lt;&gt;"",TRIM(C897),IFERROR(LOOKUP(2,1/(N$9:N897="T"),D$9:D897),"")))</f>
        <v/>
      </c>
      <c r="N897" t="str">
        <f t="shared" si="41"/>
        <v/>
      </c>
      <c r="O897" t="str">
        <f>IF(M897="","",IF(COUNTIF(M$9:M897,M897)=1,MAX(O$8:O896)+1,""))</f>
        <v/>
      </c>
    </row>
    <row r="898" spans="1:15" x14ac:dyDescent="0.75">
      <c r="A898" s="24" t="str">
        <f>IF(N898="W",COUNTIF(N$9:N898,"W"),"")</f>
        <v/>
      </c>
      <c r="B898" s="25"/>
      <c r="C898" s="25"/>
      <c r="D898" s="26"/>
      <c r="E898" s="25"/>
      <c r="F898" s="27"/>
      <c r="G898" s="28"/>
      <c r="H898" s="28"/>
      <c r="I898" s="29" t="str">
        <f t="shared" si="39"/>
        <v/>
      </c>
      <c r="J898" s="30" t="str">
        <f t="shared" si="40"/>
        <v/>
      </c>
      <c r="K898" s="26"/>
      <c r="L898" s="24" t="str">
        <f>IF(N898="","",IF(N898="T","Título de capítulo",IF(OR(ISERROR(F898),ISERROR(G898),ISERROR(H898)),"Error en fórmula: pegá como valores",IF(AND(B898="",$C$6=""),"Falta sector",IF(M898="","Falta capítulo",IF(TRIM(E898)="","Falta unidad",IF(NOT((COUNTIF(Listas!$A$2:$A$40,E898)+COUNTIF(Listas!$D$2:$D$60,E898)&gt;0)),"Unidad no reconocida",IF(AND(F898&lt;&gt;"",NOT(ISNUMBER(F898))),"Cantidad no es número",IF(N(F898)&lt;=0,"Falta cantidad",IF(OR(AND(G898&lt;&gt;"",NOT(ISNUMBER(G898))),AND(H898&lt;&gt;"",NOT(ISNUMBER(H898)))),"Precio no es número",IF(N(G898)+N(H898)&lt;=0,"Falta precio","✓ OK")))))))))))</f>
        <v/>
      </c>
      <c r="M898" t="str">
        <f>IF(N898&lt;&gt;"W","",IF(TRIM(C898)&lt;&gt;"",TRIM(C898),IFERROR(LOOKUP(2,1/(N$9:N898="T"),D$9:D898),"")))</f>
        <v/>
      </c>
      <c r="N898" t="str">
        <f t="shared" si="41"/>
        <v/>
      </c>
      <c r="O898" t="str">
        <f>IF(M898="","",IF(COUNTIF(M$9:M898,M898)=1,MAX(O$8:O897)+1,""))</f>
        <v/>
      </c>
    </row>
    <row r="899" spans="1:15" x14ac:dyDescent="0.75">
      <c r="A899" s="24" t="str">
        <f>IF(N899="W",COUNTIF(N$9:N899,"W"),"")</f>
        <v/>
      </c>
      <c r="B899" s="25"/>
      <c r="C899" s="25"/>
      <c r="D899" s="26"/>
      <c r="E899" s="25"/>
      <c r="F899" s="27"/>
      <c r="G899" s="28"/>
      <c r="H899" s="28"/>
      <c r="I899" s="29" t="str">
        <f t="shared" si="39"/>
        <v/>
      </c>
      <c r="J899" s="30" t="str">
        <f t="shared" si="40"/>
        <v/>
      </c>
      <c r="K899" s="26"/>
      <c r="L899" s="24" t="str">
        <f>IF(N899="","",IF(N899="T","Título de capítulo",IF(OR(ISERROR(F899),ISERROR(G899),ISERROR(H899)),"Error en fórmula: pegá como valores",IF(AND(B899="",$C$6=""),"Falta sector",IF(M899="","Falta capítulo",IF(TRIM(E899)="","Falta unidad",IF(NOT((COUNTIF(Listas!$A$2:$A$40,E899)+COUNTIF(Listas!$D$2:$D$60,E899)&gt;0)),"Unidad no reconocida",IF(AND(F899&lt;&gt;"",NOT(ISNUMBER(F899))),"Cantidad no es número",IF(N(F899)&lt;=0,"Falta cantidad",IF(OR(AND(G899&lt;&gt;"",NOT(ISNUMBER(G899))),AND(H899&lt;&gt;"",NOT(ISNUMBER(H899)))),"Precio no es número",IF(N(G899)+N(H899)&lt;=0,"Falta precio","✓ OK")))))))))))</f>
        <v/>
      </c>
      <c r="M899" t="str">
        <f>IF(N899&lt;&gt;"W","",IF(TRIM(C899)&lt;&gt;"",TRIM(C899),IFERROR(LOOKUP(2,1/(N$9:N899="T"),D$9:D899),"")))</f>
        <v/>
      </c>
      <c r="N899" t="str">
        <f t="shared" si="41"/>
        <v/>
      </c>
      <c r="O899" t="str">
        <f>IF(M899="","",IF(COUNTIF(M$9:M899,M899)=1,MAX(O$8:O898)+1,""))</f>
        <v/>
      </c>
    </row>
    <row r="900" spans="1:15" x14ac:dyDescent="0.75">
      <c r="A900" s="24" t="str">
        <f>IF(N900="W",COUNTIF(N$9:N900,"W"),"")</f>
        <v/>
      </c>
      <c r="B900" s="25"/>
      <c r="C900" s="25"/>
      <c r="D900" s="26"/>
      <c r="E900" s="25"/>
      <c r="F900" s="27"/>
      <c r="G900" s="28"/>
      <c r="H900" s="28"/>
      <c r="I900" s="29" t="str">
        <f t="shared" si="39"/>
        <v/>
      </c>
      <c r="J900" s="30" t="str">
        <f t="shared" si="40"/>
        <v/>
      </c>
      <c r="K900" s="26"/>
      <c r="L900" s="24" t="str">
        <f>IF(N900="","",IF(N900="T","Título de capítulo",IF(OR(ISERROR(F900),ISERROR(G900),ISERROR(H900)),"Error en fórmula: pegá como valores",IF(AND(B900="",$C$6=""),"Falta sector",IF(M900="","Falta capítulo",IF(TRIM(E900)="","Falta unidad",IF(NOT((COUNTIF(Listas!$A$2:$A$40,E900)+COUNTIF(Listas!$D$2:$D$60,E900)&gt;0)),"Unidad no reconocida",IF(AND(F900&lt;&gt;"",NOT(ISNUMBER(F900))),"Cantidad no es número",IF(N(F900)&lt;=0,"Falta cantidad",IF(OR(AND(G900&lt;&gt;"",NOT(ISNUMBER(G900))),AND(H900&lt;&gt;"",NOT(ISNUMBER(H900)))),"Precio no es número",IF(N(G900)+N(H900)&lt;=0,"Falta precio","✓ OK")))))))))))</f>
        <v/>
      </c>
      <c r="M900" t="str">
        <f>IF(N900&lt;&gt;"W","",IF(TRIM(C900)&lt;&gt;"",TRIM(C900),IFERROR(LOOKUP(2,1/(N$9:N900="T"),D$9:D900),"")))</f>
        <v/>
      </c>
      <c r="N900" t="str">
        <f t="shared" si="41"/>
        <v/>
      </c>
      <c r="O900" t="str">
        <f>IF(M900="","",IF(COUNTIF(M$9:M900,M900)=1,MAX(O$8:O899)+1,""))</f>
        <v/>
      </c>
    </row>
    <row r="901" spans="1:15" x14ac:dyDescent="0.75">
      <c r="A901" s="24" t="str">
        <f>IF(N901="W",COUNTIF(N$9:N901,"W"),"")</f>
        <v/>
      </c>
      <c r="B901" s="25"/>
      <c r="C901" s="25"/>
      <c r="D901" s="26"/>
      <c r="E901" s="25"/>
      <c r="F901" s="27"/>
      <c r="G901" s="28"/>
      <c r="H901" s="28"/>
      <c r="I901" s="29" t="str">
        <f t="shared" si="39"/>
        <v/>
      </c>
      <c r="J901" s="30" t="str">
        <f t="shared" si="40"/>
        <v/>
      </c>
      <c r="K901" s="26"/>
      <c r="L901" s="24" t="str">
        <f>IF(N901="","",IF(N901="T","Título de capítulo",IF(OR(ISERROR(F901),ISERROR(G901),ISERROR(H901)),"Error en fórmula: pegá como valores",IF(AND(B901="",$C$6=""),"Falta sector",IF(M901="","Falta capítulo",IF(TRIM(E901)="","Falta unidad",IF(NOT((COUNTIF(Listas!$A$2:$A$40,E901)+COUNTIF(Listas!$D$2:$D$60,E901)&gt;0)),"Unidad no reconocida",IF(AND(F901&lt;&gt;"",NOT(ISNUMBER(F901))),"Cantidad no es número",IF(N(F901)&lt;=0,"Falta cantidad",IF(OR(AND(G901&lt;&gt;"",NOT(ISNUMBER(G901))),AND(H901&lt;&gt;"",NOT(ISNUMBER(H901)))),"Precio no es número",IF(N(G901)+N(H901)&lt;=0,"Falta precio","✓ OK")))))))))))</f>
        <v/>
      </c>
      <c r="M901" t="str">
        <f>IF(N901&lt;&gt;"W","",IF(TRIM(C901)&lt;&gt;"",TRIM(C901),IFERROR(LOOKUP(2,1/(N$9:N901="T"),D$9:D901),"")))</f>
        <v/>
      </c>
      <c r="N901" t="str">
        <f t="shared" si="41"/>
        <v/>
      </c>
      <c r="O901" t="str">
        <f>IF(M901="","",IF(COUNTIF(M$9:M901,M901)=1,MAX(O$8:O900)+1,""))</f>
        <v/>
      </c>
    </row>
    <row r="902" spans="1:15" x14ac:dyDescent="0.75">
      <c r="A902" s="24" t="str">
        <f>IF(N902="W",COUNTIF(N$9:N902,"W"),"")</f>
        <v/>
      </c>
      <c r="B902" s="25"/>
      <c r="C902" s="25"/>
      <c r="D902" s="26"/>
      <c r="E902" s="25"/>
      <c r="F902" s="27"/>
      <c r="G902" s="28"/>
      <c r="H902" s="28"/>
      <c r="I902" s="29" t="str">
        <f t="shared" si="39"/>
        <v/>
      </c>
      <c r="J902" s="30" t="str">
        <f t="shared" si="40"/>
        <v/>
      </c>
      <c r="K902" s="26"/>
      <c r="L902" s="24" t="str">
        <f>IF(N902="","",IF(N902="T","Título de capítulo",IF(OR(ISERROR(F902),ISERROR(G902),ISERROR(H902)),"Error en fórmula: pegá como valores",IF(AND(B902="",$C$6=""),"Falta sector",IF(M902="","Falta capítulo",IF(TRIM(E902)="","Falta unidad",IF(NOT((COUNTIF(Listas!$A$2:$A$40,E902)+COUNTIF(Listas!$D$2:$D$60,E902)&gt;0)),"Unidad no reconocida",IF(AND(F902&lt;&gt;"",NOT(ISNUMBER(F902))),"Cantidad no es número",IF(N(F902)&lt;=0,"Falta cantidad",IF(OR(AND(G902&lt;&gt;"",NOT(ISNUMBER(G902))),AND(H902&lt;&gt;"",NOT(ISNUMBER(H902)))),"Precio no es número",IF(N(G902)+N(H902)&lt;=0,"Falta precio","✓ OK")))))))))))</f>
        <v/>
      </c>
      <c r="M902" t="str">
        <f>IF(N902&lt;&gt;"W","",IF(TRIM(C902)&lt;&gt;"",TRIM(C902),IFERROR(LOOKUP(2,1/(N$9:N902="T"),D$9:D902),"")))</f>
        <v/>
      </c>
      <c r="N902" t="str">
        <f t="shared" si="41"/>
        <v/>
      </c>
      <c r="O902" t="str">
        <f>IF(M902="","",IF(COUNTIF(M$9:M902,M902)=1,MAX(O$8:O901)+1,""))</f>
        <v/>
      </c>
    </row>
    <row r="903" spans="1:15" x14ac:dyDescent="0.75">
      <c r="A903" s="24" t="str">
        <f>IF(N903="W",COUNTIF(N$9:N903,"W"),"")</f>
        <v/>
      </c>
      <c r="B903" s="25"/>
      <c r="C903" s="25"/>
      <c r="D903" s="26"/>
      <c r="E903" s="25"/>
      <c r="F903" s="27"/>
      <c r="G903" s="28"/>
      <c r="H903" s="28"/>
      <c r="I903" s="29" t="str">
        <f t="shared" si="39"/>
        <v/>
      </c>
      <c r="J903" s="30" t="str">
        <f t="shared" si="40"/>
        <v/>
      </c>
      <c r="K903" s="26"/>
      <c r="L903" s="24" t="str">
        <f>IF(N903="","",IF(N903="T","Título de capítulo",IF(OR(ISERROR(F903),ISERROR(G903),ISERROR(H903)),"Error en fórmula: pegá como valores",IF(AND(B903="",$C$6=""),"Falta sector",IF(M903="","Falta capítulo",IF(TRIM(E903)="","Falta unidad",IF(NOT((COUNTIF(Listas!$A$2:$A$40,E903)+COUNTIF(Listas!$D$2:$D$60,E903)&gt;0)),"Unidad no reconocida",IF(AND(F903&lt;&gt;"",NOT(ISNUMBER(F903))),"Cantidad no es número",IF(N(F903)&lt;=0,"Falta cantidad",IF(OR(AND(G903&lt;&gt;"",NOT(ISNUMBER(G903))),AND(H903&lt;&gt;"",NOT(ISNUMBER(H903)))),"Precio no es número",IF(N(G903)+N(H903)&lt;=0,"Falta precio","✓ OK")))))))))))</f>
        <v/>
      </c>
      <c r="M903" t="str">
        <f>IF(N903&lt;&gt;"W","",IF(TRIM(C903)&lt;&gt;"",TRIM(C903),IFERROR(LOOKUP(2,1/(N$9:N903="T"),D$9:D903),"")))</f>
        <v/>
      </c>
      <c r="N903" t="str">
        <f t="shared" si="41"/>
        <v/>
      </c>
      <c r="O903" t="str">
        <f>IF(M903="","",IF(COUNTIF(M$9:M903,M903)=1,MAX(O$8:O902)+1,""))</f>
        <v/>
      </c>
    </row>
    <row r="904" spans="1:15" x14ac:dyDescent="0.75">
      <c r="A904" s="24" t="str">
        <f>IF(N904="W",COUNTIF(N$9:N904,"W"),"")</f>
        <v/>
      </c>
      <c r="B904" s="25"/>
      <c r="C904" s="25"/>
      <c r="D904" s="26"/>
      <c r="E904" s="25"/>
      <c r="F904" s="27"/>
      <c r="G904" s="28"/>
      <c r="H904" s="28"/>
      <c r="I904" s="29" t="str">
        <f t="shared" si="39"/>
        <v/>
      </c>
      <c r="J904" s="30" t="str">
        <f t="shared" si="40"/>
        <v/>
      </c>
      <c r="K904" s="26"/>
      <c r="L904" s="24" t="str">
        <f>IF(N904="","",IF(N904="T","Título de capítulo",IF(OR(ISERROR(F904),ISERROR(G904),ISERROR(H904)),"Error en fórmula: pegá como valores",IF(AND(B904="",$C$6=""),"Falta sector",IF(M904="","Falta capítulo",IF(TRIM(E904)="","Falta unidad",IF(NOT((COUNTIF(Listas!$A$2:$A$40,E904)+COUNTIF(Listas!$D$2:$D$60,E904)&gt;0)),"Unidad no reconocida",IF(AND(F904&lt;&gt;"",NOT(ISNUMBER(F904))),"Cantidad no es número",IF(N(F904)&lt;=0,"Falta cantidad",IF(OR(AND(G904&lt;&gt;"",NOT(ISNUMBER(G904))),AND(H904&lt;&gt;"",NOT(ISNUMBER(H904)))),"Precio no es número",IF(N(G904)+N(H904)&lt;=0,"Falta precio","✓ OK")))))))))))</f>
        <v/>
      </c>
      <c r="M904" t="str">
        <f>IF(N904&lt;&gt;"W","",IF(TRIM(C904)&lt;&gt;"",TRIM(C904),IFERROR(LOOKUP(2,1/(N$9:N904="T"),D$9:D904),"")))</f>
        <v/>
      </c>
      <c r="N904" t="str">
        <f t="shared" si="41"/>
        <v/>
      </c>
      <c r="O904" t="str">
        <f>IF(M904="","",IF(COUNTIF(M$9:M904,M904)=1,MAX(O$8:O903)+1,""))</f>
        <v/>
      </c>
    </row>
    <row r="905" spans="1:15" x14ac:dyDescent="0.75">
      <c r="A905" s="24" t="str">
        <f>IF(N905="W",COUNTIF(N$9:N905,"W"),"")</f>
        <v/>
      </c>
      <c r="B905" s="25"/>
      <c r="C905" s="25"/>
      <c r="D905" s="26"/>
      <c r="E905" s="25"/>
      <c r="F905" s="27"/>
      <c r="G905" s="28"/>
      <c r="H905" s="28"/>
      <c r="I905" s="29" t="str">
        <f t="shared" ref="I905:I968" si="42">IF(N905="W",IFERROR(N(G905)+N(H905),0),"")</f>
        <v/>
      </c>
      <c r="J905" s="30" t="str">
        <f t="shared" ref="J905:J968" si="43">IF(N905="W",IFERROR(N(F905)*I905,0),"")</f>
        <v/>
      </c>
      <c r="K905" s="26"/>
      <c r="L905" s="24" t="str">
        <f>IF(N905="","",IF(N905="T","Título de capítulo",IF(OR(ISERROR(F905),ISERROR(G905),ISERROR(H905)),"Error en fórmula: pegá como valores",IF(AND(B905="",$C$6=""),"Falta sector",IF(M905="","Falta capítulo",IF(TRIM(E905)="","Falta unidad",IF(NOT((COUNTIF(Listas!$A$2:$A$40,E905)+COUNTIF(Listas!$D$2:$D$60,E905)&gt;0)),"Unidad no reconocida",IF(AND(F905&lt;&gt;"",NOT(ISNUMBER(F905))),"Cantidad no es número",IF(N(F905)&lt;=0,"Falta cantidad",IF(OR(AND(G905&lt;&gt;"",NOT(ISNUMBER(G905))),AND(H905&lt;&gt;"",NOT(ISNUMBER(H905)))),"Precio no es número",IF(N(G905)+N(H905)&lt;=0,"Falta precio","✓ OK")))))))))))</f>
        <v/>
      </c>
      <c r="M905" t="str">
        <f>IF(N905&lt;&gt;"W","",IF(TRIM(C905)&lt;&gt;"",TRIM(C905),IFERROR(LOOKUP(2,1/(N$9:N905="T"),D$9:D905),"")))</f>
        <v/>
      </c>
      <c r="N905" t="str">
        <f t="shared" ref="N905:N968" si="44">IF(TRIM(D905)="","",IF(AND(TRIM(E905)="",IFERROR(N(F905),1)=0,IFERROR(N(G905)+N(H905),1)=0),"T","W"))</f>
        <v/>
      </c>
      <c r="O905" t="str">
        <f>IF(M905="","",IF(COUNTIF(M$9:M905,M905)=1,MAX(O$8:O904)+1,""))</f>
        <v/>
      </c>
    </row>
    <row r="906" spans="1:15" x14ac:dyDescent="0.75">
      <c r="A906" s="24" t="str">
        <f>IF(N906="W",COUNTIF(N$9:N906,"W"),"")</f>
        <v/>
      </c>
      <c r="B906" s="25"/>
      <c r="C906" s="25"/>
      <c r="D906" s="26"/>
      <c r="E906" s="25"/>
      <c r="F906" s="27"/>
      <c r="G906" s="28"/>
      <c r="H906" s="28"/>
      <c r="I906" s="29" t="str">
        <f t="shared" si="42"/>
        <v/>
      </c>
      <c r="J906" s="30" t="str">
        <f t="shared" si="43"/>
        <v/>
      </c>
      <c r="K906" s="26"/>
      <c r="L906" s="24" t="str">
        <f>IF(N906="","",IF(N906="T","Título de capítulo",IF(OR(ISERROR(F906),ISERROR(G906),ISERROR(H906)),"Error en fórmula: pegá como valores",IF(AND(B906="",$C$6=""),"Falta sector",IF(M906="","Falta capítulo",IF(TRIM(E906)="","Falta unidad",IF(NOT((COUNTIF(Listas!$A$2:$A$40,E906)+COUNTIF(Listas!$D$2:$D$60,E906)&gt;0)),"Unidad no reconocida",IF(AND(F906&lt;&gt;"",NOT(ISNUMBER(F906))),"Cantidad no es número",IF(N(F906)&lt;=0,"Falta cantidad",IF(OR(AND(G906&lt;&gt;"",NOT(ISNUMBER(G906))),AND(H906&lt;&gt;"",NOT(ISNUMBER(H906)))),"Precio no es número",IF(N(G906)+N(H906)&lt;=0,"Falta precio","✓ OK")))))))))))</f>
        <v/>
      </c>
      <c r="M906" t="str">
        <f>IF(N906&lt;&gt;"W","",IF(TRIM(C906)&lt;&gt;"",TRIM(C906),IFERROR(LOOKUP(2,1/(N$9:N906="T"),D$9:D906),"")))</f>
        <v/>
      </c>
      <c r="N906" t="str">
        <f t="shared" si="44"/>
        <v/>
      </c>
      <c r="O906" t="str">
        <f>IF(M906="","",IF(COUNTIF(M$9:M906,M906)=1,MAX(O$8:O905)+1,""))</f>
        <v/>
      </c>
    </row>
    <row r="907" spans="1:15" x14ac:dyDescent="0.75">
      <c r="A907" s="24" t="str">
        <f>IF(N907="W",COUNTIF(N$9:N907,"W"),"")</f>
        <v/>
      </c>
      <c r="B907" s="25"/>
      <c r="C907" s="25"/>
      <c r="D907" s="26"/>
      <c r="E907" s="25"/>
      <c r="F907" s="27"/>
      <c r="G907" s="28"/>
      <c r="H907" s="28"/>
      <c r="I907" s="29" t="str">
        <f t="shared" si="42"/>
        <v/>
      </c>
      <c r="J907" s="30" t="str">
        <f t="shared" si="43"/>
        <v/>
      </c>
      <c r="K907" s="26"/>
      <c r="L907" s="24" t="str">
        <f>IF(N907="","",IF(N907="T","Título de capítulo",IF(OR(ISERROR(F907),ISERROR(G907),ISERROR(H907)),"Error en fórmula: pegá como valores",IF(AND(B907="",$C$6=""),"Falta sector",IF(M907="","Falta capítulo",IF(TRIM(E907)="","Falta unidad",IF(NOT((COUNTIF(Listas!$A$2:$A$40,E907)+COUNTIF(Listas!$D$2:$D$60,E907)&gt;0)),"Unidad no reconocida",IF(AND(F907&lt;&gt;"",NOT(ISNUMBER(F907))),"Cantidad no es número",IF(N(F907)&lt;=0,"Falta cantidad",IF(OR(AND(G907&lt;&gt;"",NOT(ISNUMBER(G907))),AND(H907&lt;&gt;"",NOT(ISNUMBER(H907)))),"Precio no es número",IF(N(G907)+N(H907)&lt;=0,"Falta precio","✓ OK")))))))))))</f>
        <v/>
      </c>
      <c r="M907" t="str">
        <f>IF(N907&lt;&gt;"W","",IF(TRIM(C907)&lt;&gt;"",TRIM(C907),IFERROR(LOOKUP(2,1/(N$9:N907="T"),D$9:D907),"")))</f>
        <v/>
      </c>
      <c r="N907" t="str">
        <f t="shared" si="44"/>
        <v/>
      </c>
      <c r="O907" t="str">
        <f>IF(M907="","",IF(COUNTIF(M$9:M907,M907)=1,MAX(O$8:O906)+1,""))</f>
        <v/>
      </c>
    </row>
    <row r="908" spans="1:15" x14ac:dyDescent="0.75">
      <c r="A908" s="24" t="str">
        <f>IF(N908="W",COUNTIF(N$9:N908,"W"),"")</f>
        <v/>
      </c>
      <c r="B908" s="25"/>
      <c r="C908" s="25"/>
      <c r="D908" s="26"/>
      <c r="E908" s="25"/>
      <c r="F908" s="27"/>
      <c r="G908" s="28"/>
      <c r="H908" s="28"/>
      <c r="I908" s="29" t="str">
        <f t="shared" si="42"/>
        <v/>
      </c>
      <c r="J908" s="30" t="str">
        <f t="shared" si="43"/>
        <v/>
      </c>
      <c r="K908" s="26"/>
      <c r="L908" s="24" t="str">
        <f>IF(N908="","",IF(N908="T","Título de capítulo",IF(OR(ISERROR(F908),ISERROR(G908),ISERROR(H908)),"Error en fórmula: pegá como valores",IF(AND(B908="",$C$6=""),"Falta sector",IF(M908="","Falta capítulo",IF(TRIM(E908)="","Falta unidad",IF(NOT((COUNTIF(Listas!$A$2:$A$40,E908)+COUNTIF(Listas!$D$2:$D$60,E908)&gt;0)),"Unidad no reconocida",IF(AND(F908&lt;&gt;"",NOT(ISNUMBER(F908))),"Cantidad no es número",IF(N(F908)&lt;=0,"Falta cantidad",IF(OR(AND(G908&lt;&gt;"",NOT(ISNUMBER(G908))),AND(H908&lt;&gt;"",NOT(ISNUMBER(H908)))),"Precio no es número",IF(N(G908)+N(H908)&lt;=0,"Falta precio","✓ OK")))))))))))</f>
        <v/>
      </c>
      <c r="M908" t="str">
        <f>IF(N908&lt;&gt;"W","",IF(TRIM(C908)&lt;&gt;"",TRIM(C908),IFERROR(LOOKUP(2,1/(N$9:N908="T"),D$9:D908),"")))</f>
        <v/>
      </c>
      <c r="N908" t="str">
        <f t="shared" si="44"/>
        <v/>
      </c>
      <c r="O908" t="str">
        <f>IF(M908="","",IF(COUNTIF(M$9:M908,M908)=1,MAX(O$8:O907)+1,""))</f>
        <v/>
      </c>
    </row>
    <row r="909" spans="1:15" x14ac:dyDescent="0.75">
      <c r="A909" s="24" t="str">
        <f>IF(N909="W",COUNTIF(N$9:N909,"W"),"")</f>
        <v/>
      </c>
      <c r="B909" s="25"/>
      <c r="C909" s="25"/>
      <c r="D909" s="26"/>
      <c r="E909" s="25"/>
      <c r="F909" s="27"/>
      <c r="G909" s="28"/>
      <c r="H909" s="28"/>
      <c r="I909" s="29" t="str">
        <f t="shared" si="42"/>
        <v/>
      </c>
      <c r="J909" s="30" t="str">
        <f t="shared" si="43"/>
        <v/>
      </c>
      <c r="K909" s="26"/>
      <c r="L909" s="24" t="str">
        <f>IF(N909="","",IF(N909="T","Título de capítulo",IF(OR(ISERROR(F909),ISERROR(G909),ISERROR(H909)),"Error en fórmula: pegá como valores",IF(AND(B909="",$C$6=""),"Falta sector",IF(M909="","Falta capítulo",IF(TRIM(E909)="","Falta unidad",IF(NOT((COUNTIF(Listas!$A$2:$A$40,E909)+COUNTIF(Listas!$D$2:$D$60,E909)&gt;0)),"Unidad no reconocida",IF(AND(F909&lt;&gt;"",NOT(ISNUMBER(F909))),"Cantidad no es número",IF(N(F909)&lt;=0,"Falta cantidad",IF(OR(AND(G909&lt;&gt;"",NOT(ISNUMBER(G909))),AND(H909&lt;&gt;"",NOT(ISNUMBER(H909)))),"Precio no es número",IF(N(G909)+N(H909)&lt;=0,"Falta precio","✓ OK")))))))))))</f>
        <v/>
      </c>
      <c r="M909" t="str">
        <f>IF(N909&lt;&gt;"W","",IF(TRIM(C909)&lt;&gt;"",TRIM(C909),IFERROR(LOOKUP(2,1/(N$9:N909="T"),D$9:D909),"")))</f>
        <v/>
      </c>
      <c r="N909" t="str">
        <f t="shared" si="44"/>
        <v/>
      </c>
      <c r="O909" t="str">
        <f>IF(M909="","",IF(COUNTIF(M$9:M909,M909)=1,MAX(O$8:O908)+1,""))</f>
        <v/>
      </c>
    </row>
    <row r="910" spans="1:15" x14ac:dyDescent="0.75">
      <c r="A910" s="24" t="str">
        <f>IF(N910="W",COUNTIF(N$9:N910,"W"),"")</f>
        <v/>
      </c>
      <c r="B910" s="25"/>
      <c r="C910" s="25"/>
      <c r="D910" s="26"/>
      <c r="E910" s="25"/>
      <c r="F910" s="27"/>
      <c r="G910" s="28"/>
      <c r="H910" s="28"/>
      <c r="I910" s="29" t="str">
        <f t="shared" si="42"/>
        <v/>
      </c>
      <c r="J910" s="30" t="str">
        <f t="shared" si="43"/>
        <v/>
      </c>
      <c r="K910" s="26"/>
      <c r="L910" s="24" t="str">
        <f>IF(N910="","",IF(N910="T","Título de capítulo",IF(OR(ISERROR(F910),ISERROR(G910),ISERROR(H910)),"Error en fórmula: pegá como valores",IF(AND(B910="",$C$6=""),"Falta sector",IF(M910="","Falta capítulo",IF(TRIM(E910)="","Falta unidad",IF(NOT((COUNTIF(Listas!$A$2:$A$40,E910)+COUNTIF(Listas!$D$2:$D$60,E910)&gt;0)),"Unidad no reconocida",IF(AND(F910&lt;&gt;"",NOT(ISNUMBER(F910))),"Cantidad no es número",IF(N(F910)&lt;=0,"Falta cantidad",IF(OR(AND(G910&lt;&gt;"",NOT(ISNUMBER(G910))),AND(H910&lt;&gt;"",NOT(ISNUMBER(H910)))),"Precio no es número",IF(N(G910)+N(H910)&lt;=0,"Falta precio","✓ OK")))))))))))</f>
        <v/>
      </c>
      <c r="M910" t="str">
        <f>IF(N910&lt;&gt;"W","",IF(TRIM(C910)&lt;&gt;"",TRIM(C910),IFERROR(LOOKUP(2,1/(N$9:N910="T"),D$9:D910),"")))</f>
        <v/>
      </c>
      <c r="N910" t="str">
        <f t="shared" si="44"/>
        <v/>
      </c>
      <c r="O910" t="str">
        <f>IF(M910="","",IF(COUNTIF(M$9:M910,M910)=1,MAX(O$8:O909)+1,""))</f>
        <v/>
      </c>
    </row>
    <row r="911" spans="1:15" x14ac:dyDescent="0.75">
      <c r="A911" s="24" t="str">
        <f>IF(N911="W",COUNTIF(N$9:N911,"W"),"")</f>
        <v/>
      </c>
      <c r="B911" s="25"/>
      <c r="C911" s="25"/>
      <c r="D911" s="26"/>
      <c r="E911" s="25"/>
      <c r="F911" s="27"/>
      <c r="G911" s="28"/>
      <c r="H911" s="28"/>
      <c r="I911" s="29" t="str">
        <f t="shared" si="42"/>
        <v/>
      </c>
      <c r="J911" s="30" t="str">
        <f t="shared" si="43"/>
        <v/>
      </c>
      <c r="K911" s="26"/>
      <c r="L911" s="24" t="str">
        <f>IF(N911="","",IF(N911="T","Título de capítulo",IF(OR(ISERROR(F911),ISERROR(G911),ISERROR(H911)),"Error en fórmula: pegá como valores",IF(AND(B911="",$C$6=""),"Falta sector",IF(M911="","Falta capítulo",IF(TRIM(E911)="","Falta unidad",IF(NOT((COUNTIF(Listas!$A$2:$A$40,E911)+COUNTIF(Listas!$D$2:$D$60,E911)&gt;0)),"Unidad no reconocida",IF(AND(F911&lt;&gt;"",NOT(ISNUMBER(F911))),"Cantidad no es número",IF(N(F911)&lt;=0,"Falta cantidad",IF(OR(AND(G911&lt;&gt;"",NOT(ISNUMBER(G911))),AND(H911&lt;&gt;"",NOT(ISNUMBER(H911)))),"Precio no es número",IF(N(G911)+N(H911)&lt;=0,"Falta precio","✓ OK")))))))))))</f>
        <v/>
      </c>
      <c r="M911" t="str">
        <f>IF(N911&lt;&gt;"W","",IF(TRIM(C911)&lt;&gt;"",TRIM(C911),IFERROR(LOOKUP(2,1/(N$9:N911="T"),D$9:D911),"")))</f>
        <v/>
      </c>
      <c r="N911" t="str">
        <f t="shared" si="44"/>
        <v/>
      </c>
      <c r="O911" t="str">
        <f>IF(M911="","",IF(COUNTIF(M$9:M911,M911)=1,MAX(O$8:O910)+1,""))</f>
        <v/>
      </c>
    </row>
    <row r="912" spans="1:15" x14ac:dyDescent="0.75">
      <c r="A912" s="24" t="str">
        <f>IF(N912="W",COUNTIF(N$9:N912,"W"),"")</f>
        <v/>
      </c>
      <c r="B912" s="25"/>
      <c r="C912" s="25"/>
      <c r="D912" s="26"/>
      <c r="E912" s="25"/>
      <c r="F912" s="27"/>
      <c r="G912" s="28"/>
      <c r="H912" s="28"/>
      <c r="I912" s="29" t="str">
        <f t="shared" si="42"/>
        <v/>
      </c>
      <c r="J912" s="30" t="str">
        <f t="shared" si="43"/>
        <v/>
      </c>
      <c r="K912" s="26"/>
      <c r="L912" s="24" t="str">
        <f>IF(N912="","",IF(N912="T","Título de capítulo",IF(OR(ISERROR(F912),ISERROR(G912),ISERROR(H912)),"Error en fórmula: pegá como valores",IF(AND(B912="",$C$6=""),"Falta sector",IF(M912="","Falta capítulo",IF(TRIM(E912)="","Falta unidad",IF(NOT((COUNTIF(Listas!$A$2:$A$40,E912)+COUNTIF(Listas!$D$2:$D$60,E912)&gt;0)),"Unidad no reconocida",IF(AND(F912&lt;&gt;"",NOT(ISNUMBER(F912))),"Cantidad no es número",IF(N(F912)&lt;=0,"Falta cantidad",IF(OR(AND(G912&lt;&gt;"",NOT(ISNUMBER(G912))),AND(H912&lt;&gt;"",NOT(ISNUMBER(H912)))),"Precio no es número",IF(N(G912)+N(H912)&lt;=0,"Falta precio","✓ OK")))))))))))</f>
        <v/>
      </c>
      <c r="M912" t="str">
        <f>IF(N912&lt;&gt;"W","",IF(TRIM(C912)&lt;&gt;"",TRIM(C912),IFERROR(LOOKUP(2,1/(N$9:N912="T"),D$9:D912),"")))</f>
        <v/>
      </c>
      <c r="N912" t="str">
        <f t="shared" si="44"/>
        <v/>
      </c>
      <c r="O912" t="str">
        <f>IF(M912="","",IF(COUNTIF(M$9:M912,M912)=1,MAX(O$8:O911)+1,""))</f>
        <v/>
      </c>
    </row>
    <row r="913" spans="1:15" x14ac:dyDescent="0.75">
      <c r="A913" s="24" t="str">
        <f>IF(N913="W",COUNTIF(N$9:N913,"W"),"")</f>
        <v/>
      </c>
      <c r="B913" s="25"/>
      <c r="C913" s="25"/>
      <c r="D913" s="26"/>
      <c r="E913" s="25"/>
      <c r="F913" s="27"/>
      <c r="G913" s="28"/>
      <c r="H913" s="28"/>
      <c r="I913" s="29" t="str">
        <f t="shared" si="42"/>
        <v/>
      </c>
      <c r="J913" s="30" t="str">
        <f t="shared" si="43"/>
        <v/>
      </c>
      <c r="K913" s="26"/>
      <c r="L913" s="24" t="str">
        <f>IF(N913="","",IF(N913="T","Título de capítulo",IF(OR(ISERROR(F913),ISERROR(G913),ISERROR(H913)),"Error en fórmula: pegá como valores",IF(AND(B913="",$C$6=""),"Falta sector",IF(M913="","Falta capítulo",IF(TRIM(E913)="","Falta unidad",IF(NOT((COUNTIF(Listas!$A$2:$A$40,E913)+COUNTIF(Listas!$D$2:$D$60,E913)&gt;0)),"Unidad no reconocida",IF(AND(F913&lt;&gt;"",NOT(ISNUMBER(F913))),"Cantidad no es número",IF(N(F913)&lt;=0,"Falta cantidad",IF(OR(AND(G913&lt;&gt;"",NOT(ISNUMBER(G913))),AND(H913&lt;&gt;"",NOT(ISNUMBER(H913)))),"Precio no es número",IF(N(G913)+N(H913)&lt;=0,"Falta precio","✓ OK")))))))))))</f>
        <v/>
      </c>
      <c r="M913" t="str">
        <f>IF(N913&lt;&gt;"W","",IF(TRIM(C913)&lt;&gt;"",TRIM(C913),IFERROR(LOOKUP(2,1/(N$9:N913="T"),D$9:D913),"")))</f>
        <v/>
      </c>
      <c r="N913" t="str">
        <f t="shared" si="44"/>
        <v/>
      </c>
      <c r="O913" t="str">
        <f>IF(M913="","",IF(COUNTIF(M$9:M913,M913)=1,MAX(O$8:O912)+1,""))</f>
        <v/>
      </c>
    </row>
    <row r="914" spans="1:15" x14ac:dyDescent="0.75">
      <c r="A914" s="24" t="str">
        <f>IF(N914="W",COUNTIF(N$9:N914,"W"),"")</f>
        <v/>
      </c>
      <c r="B914" s="25"/>
      <c r="C914" s="25"/>
      <c r="D914" s="26"/>
      <c r="E914" s="25"/>
      <c r="F914" s="27"/>
      <c r="G914" s="28"/>
      <c r="H914" s="28"/>
      <c r="I914" s="29" t="str">
        <f t="shared" si="42"/>
        <v/>
      </c>
      <c r="J914" s="30" t="str">
        <f t="shared" si="43"/>
        <v/>
      </c>
      <c r="K914" s="26"/>
      <c r="L914" s="24" t="str">
        <f>IF(N914="","",IF(N914="T","Título de capítulo",IF(OR(ISERROR(F914),ISERROR(G914),ISERROR(H914)),"Error en fórmula: pegá como valores",IF(AND(B914="",$C$6=""),"Falta sector",IF(M914="","Falta capítulo",IF(TRIM(E914)="","Falta unidad",IF(NOT((COUNTIF(Listas!$A$2:$A$40,E914)+COUNTIF(Listas!$D$2:$D$60,E914)&gt;0)),"Unidad no reconocida",IF(AND(F914&lt;&gt;"",NOT(ISNUMBER(F914))),"Cantidad no es número",IF(N(F914)&lt;=0,"Falta cantidad",IF(OR(AND(G914&lt;&gt;"",NOT(ISNUMBER(G914))),AND(H914&lt;&gt;"",NOT(ISNUMBER(H914)))),"Precio no es número",IF(N(G914)+N(H914)&lt;=0,"Falta precio","✓ OK")))))))))))</f>
        <v/>
      </c>
      <c r="M914" t="str">
        <f>IF(N914&lt;&gt;"W","",IF(TRIM(C914)&lt;&gt;"",TRIM(C914),IFERROR(LOOKUP(2,1/(N$9:N914="T"),D$9:D914),"")))</f>
        <v/>
      </c>
      <c r="N914" t="str">
        <f t="shared" si="44"/>
        <v/>
      </c>
      <c r="O914" t="str">
        <f>IF(M914="","",IF(COUNTIF(M$9:M914,M914)=1,MAX(O$8:O913)+1,""))</f>
        <v/>
      </c>
    </row>
    <row r="915" spans="1:15" x14ac:dyDescent="0.75">
      <c r="A915" s="24" t="str">
        <f>IF(N915="W",COUNTIF(N$9:N915,"W"),"")</f>
        <v/>
      </c>
      <c r="B915" s="25"/>
      <c r="C915" s="25"/>
      <c r="D915" s="26"/>
      <c r="E915" s="25"/>
      <c r="F915" s="27"/>
      <c r="G915" s="28"/>
      <c r="H915" s="28"/>
      <c r="I915" s="29" t="str">
        <f t="shared" si="42"/>
        <v/>
      </c>
      <c r="J915" s="30" t="str">
        <f t="shared" si="43"/>
        <v/>
      </c>
      <c r="K915" s="26"/>
      <c r="L915" s="24" t="str">
        <f>IF(N915="","",IF(N915="T","Título de capítulo",IF(OR(ISERROR(F915),ISERROR(G915),ISERROR(H915)),"Error en fórmula: pegá como valores",IF(AND(B915="",$C$6=""),"Falta sector",IF(M915="","Falta capítulo",IF(TRIM(E915)="","Falta unidad",IF(NOT((COUNTIF(Listas!$A$2:$A$40,E915)+COUNTIF(Listas!$D$2:$D$60,E915)&gt;0)),"Unidad no reconocida",IF(AND(F915&lt;&gt;"",NOT(ISNUMBER(F915))),"Cantidad no es número",IF(N(F915)&lt;=0,"Falta cantidad",IF(OR(AND(G915&lt;&gt;"",NOT(ISNUMBER(G915))),AND(H915&lt;&gt;"",NOT(ISNUMBER(H915)))),"Precio no es número",IF(N(G915)+N(H915)&lt;=0,"Falta precio","✓ OK")))))))))))</f>
        <v/>
      </c>
      <c r="M915" t="str">
        <f>IF(N915&lt;&gt;"W","",IF(TRIM(C915)&lt;&gt;"",TRIM(C915),IFERROR(LOOKUP(2,1/(N$9:N915="T"),D$9:D915),"")))</f>
        <v/>
      </c>
      <c r="N915" t="str">
        <f t="shared" si="44"/>
        <v/>
      </c>
      <c r="O915" t="str">
        <f>IF(M915="","",IF(COUNTIF(M$9:M915,M915)=1,MAX(O$8:O914)+1,""))</f>
        <v/>
      </c>
    </row>
    <row r="916" spans="1:15" x14ac:dyDescent="0.75">
      <c r="A916" s="24" t="str">
        <f>IF(N916="W",COUNTIF(N$9:N916,"W"),"")</f>
        <v/>
      </c>
      <c r="B916" s="25"/>
      <c r="C916" s="25"/>
      <c r="D916" s="26"/>
      <c r="E916" s="25"/>
      <c r="F916" s="27"/>
      <c r="G916" s="28"/>
      <c r="H916" s="28"/>
      <c r="I916" s="29" t="str">
        <f t="shared" si="42"/>
        <v/>
      </c>
      <c r="J916" s="30" t="str">
        <f t="shared" si="43"/>
        <v/>
      </c>
      <c r="K916" s="26"/>
      <c r="L916" s="24" t="str">
        <f>IF(N916="","",IF(N916="T","Título de capítulo",IF(OR(ISERROR(F916),ISERROR(G916),ISERROR(H916)),"Error en fórmula: pegá como valores",IF(AND(B916="",$C$6=""),"Falta sector",IF(M916="","Falta capítulo",IF(TRIM(E916)="","Falta unidad",IF(NOT((COUNTIF(Listas!$A$2:$A$40,E916)+COUNTIF(Listas!$D$2:$D$60,E916)&gt;0)),"Unidad no reconocida",IF(AND(F916&lt;&gt;"",NOT(ISNUMBER(F916))),"Cantidad no es número",IF(N(F916)&lt;=0,"Falta cantidad",IF(OR(AND(G916&lt;&gt;"",NOT(ISNUMBER(G916))),AND(H916&lt;&gt;"",NOT(ISNUMBER(H916)))),"Precio no es número",IF(N(G916)+N(H916)&lt;=0,"Falta precio","✓ OK")))))))))))</f>
        <v/>
      </c>
      <c r="M916" t="str">
        <f>IF(N916&lt;&gt;"W","",IF(TRIM(C916)&lt;&gt;"",TRIM(C916),IFERROR(LOOKUP(2,1/(N$9:N916="T"),D$9:D916),"")))</f>
        <v/>
      </c>
      <c r="N916" t="str">
        <f t="shared" si="44"/>
        <v/>
      </c>
      <c r="O916" t="str">
        <f>IF(M916="","",IF(COUNTIF(M$9:M916,M916)=1,MAX(O$8:O915)+1,""))</f>
        <v/>
      </c>
    </row>
    <row r="917" spans="1:15" x14ac:dyDescent="0.75">
      <c r="A917" s="24" t="str">
        <f>IF(N917="W",COUNTIF(N$9:N917,"W"),"")</f>
        <v/>
      </c>
      <c r="B917" s="25"/>
      <c r="C917" s="25"/>
      <c r="D917" s="26"/>
      <c r="E917" s="25"/>
      <c r="F917" s="27"/>
      <c r="G917" s="28"/>
      <c r="H917" s="28"/>
      <c r="I917" s="29" t="str">
        <f t="shared" si="42"/>
        <v/>
      </c>
      <c r="J917" s="30" t="str">
        <f t="shared" si="43"/>
        <v/>
      </c>
      <c r="K917" s="26"/>
      <c r="L917" s="24" t="str">
        <f>IF(N917="","",IF(N917="T","Título de capítulo",IF(OR(ISERROR(F917),ISERROR(G917),ISERROR(H917)),"Error en fórmula: pegá como valores",IF(AND(B917="",$C$6=""),"Falta sector",IF(M917="","Falta capítulo",IF(TRIM(E917)="","Falta unidad",IF(NOT((COUNTIF(Listas!$A$2:$A$40,E917)+COUNTIF(Listas!$D$2:$D$60,E917)&gt;0)),"Unidad no reconocida",IF(AND(F917&lt;&gt;"",NOT(ISNUMBER(F917))),"Cantidad no es número",IF(N(F917)&lt;=0,"Falta cantidad",IF(OR(AND(G917&lt;&gt;"",NOT(ISNUMBER(G917))),AND(H917&lt;&gt;"",NOT(ISNUMBER(H917)))),"Precio no es número",IF(N(G917)+N(H917)&lt;=0,"Falta precio","✓ OK")))))))))))</f>
        <v/>
      </c>
      <c r="M917" t="str">
        <f>IF(N917&lt;&gt;"W","",IF(TRIM(C917)&lt;&gt;"",TRIM(C917),IFERROR(LOOKUP(2,1/(N$9:N917="T"),D$9:D917),"")))</f>
        <v/>
      </c>
      <c r="N917" t="str">
        <f t="shared" si="44"/>
        <v/>
      </c>
      <c r="O917" t="str">
        <f>IF(M917="","",IF(COUNTIF(M$9:M917,M917)=1,MAX(O$8:O916)+1,""))</f>
        <v/>
      </c>
    </row>
    <row r="918" spans="1:15" x14ac:dyDescent="0.75">
      <c r="A918" s="24" t="str">
        <f>IF(N918="W",COUNTIF(N$9:N918,"W"),"")</f>
        <v/>
      </c>
      <c r="B918" s="25"/>
      <c r="C918" s="25"/>
      <c r="D918" s="26"/>
      <c r="E918" s="25"/>
      <c r="F918" s="27"/>
      <c r="G918" s="28"/>
      <c r="H918" s="28"/>
      <c r="I918" s="29" t="str">
        <f t="shared" si="42"/>
        <v/>
      </c>
      <c r="J918" s="30" t="str">
        <f t="shared" si="43"/>
        <v/>
      </c>
      <c r="K918" s="26"/>
      <c r="L918" s="24" t="str">
        <f>IF(N918="","",IF(N918="T","Título de capítulo",IF(OR(ISERROR(F918),ISERROR(G918),ISERROR(H918)),"Error en fórmula: pegá como valores",IF(AND(B918="",$C$6=""),"Falta sector",IF(M918="","Falta capítulo",IF(TRIM(E918)="","Falta unidad",IF(NOT((COUNTIF(Listas!$A$2:$A$40,E918)+COUNTIF(Listas!$D$2:$D$60,E918)&gt;0)),"Unidad no reconocida",IF(AND(F918&lt;&gt;"",NOT(ISNUMBER(F918))),"Cantidad no es número",IF(N(F918)&lt;=0,"Falta cantidad",IF(OR(AND(G918&lt;&gt;"",NOT(ISNUMBER(G918))),AND(H918&lt;&gt;"",NOT(ISNUMBER(H918)))),"Precio no es número",IF(N(G918)+N(H918)&lt;=0,"Falta precio","✓ OK")))))))))))</f>
        <v/>
      </c>
      <c r="M918" t="str">
        <f>IF(N918&lt;&gt;"W","",IF(TRIM(C918)&lt;&gt;"",TRIM(C918),IFERROR(LOOKUP(2,1/(N$9:N918="T"),D$9:D918),"")))</f>
        <v/>
      </c>
      <c r="N918" t="str">
        <f t="shared" si="44"/>
        <v/>
      </c>
      <c r="O918" t="str">
        <f>IF(M918="","",IF(COUNTIF(M$9:M918,M918)=1,MAX(O$8:O917)+1,""))</f>
        <v/>
      </c>
    </row>
    <row r="919" spans="1:15" x14ac:dyDescent="0.75">
      <c r="A919" s="24" t="str">
        <f>IF(N919="W",COUNTIF(N$9:N919,"W"),"")</f>
        <v/>
      </c>
      <c r="B919" s="25"/>
      <c r="C919" s="25"/>
      <c r="D919" s="26"/>
      <c r="E919" s="25"/>
      <c r="F919" s="27"/>
      <c r="G919" s="28"/>
      <c r="H919" s="28"/>
      <c r="I919" s="29" t="str">
        <f t="shared" si="42"/>
        <v/>
      </c>
      <c r="J919" s="30" t="str">
        <f t="shared" si="43"/>
        <v/>
      </c>
      <c r="K919" s="26"/>
      <c r="L919" s="24" t="str">
        <f>IF(N919="","",IF(N919="T","Título de capítulo",IF(OR(ISERROR(F919),ISERROR(G919),ISERROR(H919)),"Error en fórmula: pegá como valores",IF(AND(B919="",$C$6=""),"Falta sector",IF(M919="","Falta capítulo",IF(TRIM(E919)="","Falta unidad",IF(NOT((COUNTIF(Listas!$A$2:$A$40,E919)+COUNTIF(Listas!$D$2:$D$60,E919)&gt;0)),"Unidad no reconocida",IF(AND(F919&lt;&gt;"",NOT(ISNUMBER(F919))),"Cantidad no es número",IF(N(F919)&lt;=0,"Falta cantidad",IF(OR(AND(G919&lt;&gt;"",NOT(ISNUMBER(G919))),AND(H919&lt;&gt;"",NOT(ISNUMBER(H919)))),"Precio no es número",IF(N(G919)+N(H919)&lt;=0,"Falta precio","✓ OK")))))))))))</f>
        <v/>
      </c>
      <c r="M919" t="str">
        <f>IF(N919&lt;&gt;"W","",IF(TRIM(C919)&lt;&gt;"",TRIM(C919),IFERROR(LOOKUP(2,1/(N$9:N919="T"),D$9:D919),"")))</f>
        <v/>
      </c>
      <c r="N919" t="str">
        <f t="shared" si="44"/>
        <v/>
      </c>
      <c r="O919" t="str">
        <f>IF(M919="","",IF(COUNTIF(M$9:M919,M919)=1,MAX(O$8:O918)+1,""))</f>
        <v/>
      </c>
    </row>
    <row r="920" spans="1:15" x14ac:dyDescent="0.75">
      <c r="A920" s="24" t="str">
        <f>IF(N920="W",COUNTIF(N$9:N920,"W"),"")</f>
        <v/>
      </c>
      <c r="B920" s="25"/>
      <c r="C920" s="25"/>
      <c r="D920" s="26"/>
      <c r="E920" s="25"/>
      <c r="F920" s="27"/>
      <c r="G920" s="28"/>
      <c r="H920" s="28"/>
      <c r="I920" s="29" t="str">
        <f t="shared" si="42"/>
        <v/>
      </c>
      <c r="J920" s="30" t="str">
        <f t="shared" si="43"/>
        <v/>
      </c>
      <c r="K920" s="26"/>
      <c r="L920" s="24" t="str">
        <f>IF(N920="","",IF(N920="T","Título de capítulo",IF(OR(ISERROR(F920),ISERROR(G920),ISERROR(H920)),"Error en fórmula: pegá como valores",IF(AND(B920="",$C$6=""),"Falta sector",IF(M920="","Falta capítulo",IF(TRIM(E920)="","Falta unidad",IF(NOT((COUNTIF(Listas!$A$2:$A$40,E920)+COUNTIF(Listas!$D$2:$D$60,E920)&gt;0)),"Unidad no reconocida",IF(AND(F920&lt;&gt;"",NOT(ISNUMBER(F920))),"Cantidad no es número",IF(N(F920)&lt;=0,"Falta cantidad",IF(OR(AND(G920&lt;&gt;"",NOT(ISNUMBER(G920))),AND(H920&lt;&gt;"",NOT(ISNUMBER(H920)))),"Precio no es número",IF(N(G920)+N(H920)&lt;=0,"Falta precio","✓ OK")))))))))))</f>
        <v/>
      </c>
      <c r="M920" t="str">
        <f>IF(N920&lt;&gt;"W","",IF(TRIM(C920)&lt;&gt;"",TRIM(C920),IFERROR(LOOKUP(2,1/(N$9:N920="T"),D$9:D920),"")))</f>
        <v/>
      </c>
      <c r="N920" t="str">
        <f t="shared" si="44"/>
        <v/>
      </c>
      <c r="O920" t="str">
        <f>IF(M920="","",IF(COUNTIF(M$9:M920,M920)=1,MAX(O$8:O919)+1,""))</f>
        <v/>
      </c>
    </row>
    <row r="921" spans="1:15" x14ac:dyDescent="0.75">
      <c r="A921" s="24" t="str">
        <f>IF(N921="W",COUNTIF(N$9:N921,"W"),"")</f>
        <v/>
      </c>
      <c r="B921" s="25"/>
      <c r="C921" s="25"/>
      <c r="D921" s="26"/>
      <c r="E921" s="25"/>
      <c r="F921" s="27"/>
      <c r="G921" s="28"/>
      <c r="H921" s="28"/>
      <c r="I921" s="29" t="str">
        <f t="shared" si="42"/>
        <v/>
      </c>
      <c r="J921" s="30" t="str">
        <f t="shared" si="43"/>
        <v/>
      </c>
      <c r="K921" s="26"/>
      <c r="L921" s="24" t="str">
        <f>IF(N921="","",IF(N921="T","Título de capítulo",IF(OR(ISERROR(F921),ISERROR(G921),ISERROR(H921)),"Error en fórmula: pegá como valores",IF(AND(B921="",$C$6=""),"Falta sector",IF(M921="","Falta capítulo",IF(TRIM(E921)="","Falta unidad",IF(NOT((COUNTIF(Listas!$A$2:$A$40,E921)+COUNTIF(Listas!$D$2:$D$60,E921)&gt;0)),"Unidad no reconocida",IF(AND(F921&lt;&gt;"",NOT(ISNUMBER(F921))),"Cantidad no es número",IF(N(F921)&lt;=0,"Falta cantidad",IF(OR(AND(G921&lt;&gt;"",NOT(ISNUMBER(G921))),AND(H921&lt;&gt;"",NOT(ISNUMBER(H921)))),"Precio no es número",IF(N(G921)+N(H921)&lt;=0,"Falta precio","✓ OK")))))))))))</f>
        <v/>
      </c>
      <c r="M921" t="str">
        <f>IF(N921&lt;&gt;"W","",IF(TRIM(C921)&lt;&gt;"",TRIM(C921),IFERROR(LOOKUP(2,1/(N$9:N921="T"),D$9:D921),"")))</f>
        <v/>
      </c>
      <c r="N921" t="str">
        <f t="shared" si="44"/>
        <v/>
      </c>
      <c r="O921" t="str">
        <f>IF(M921="","",IF(COUNTIF(M$9:M921,M921)=1,MAX(O$8:O920)+1,""))</f>
        <v/>
      </c>
    </row>
    <row r="922" spans="1:15" x14ac:dyDescent="0.75">
      <c r="A922" s="24" t="str">
        <f>IF(N922="W",COUNTIF(N$9:N922,"W"),"")</f>
        <v/>
      </c>
      <c r="B922" s="25"/>
      <c r="C922" s="25"/>
      <c r="D922" s="26"/>
      <c r="E922" s="25"/>
      <c r="F922" s="27"/>
      <c r="G922" s="28"/>
      <c r="H922" s="28"/>
      <c r="I922" s="29" t="str">
        <f t="shared" si="42"/>
        <v/>
      </c>
      <c r="J922" s="30" t="str">
        <f t="shared" si="43"/>
        <v/>
      </c>
      <c r="K922" s="26"/>
      <c r="L922" s="24" t="str">
        <f>IF(N922="","",IF(N922="T","Título de capítulo",IF(OR(ISERROR(F922),ISERROR(G922),ISERROR(H922)),"Error en fórmula: pegá como valores",IF(AND(B922="",$C$6=""),"Falta sector",IF(M922="","Falta capítulo",IF(TRIM(E922)="","Falta unidad",IF(NOT((COUNTIF(Listas!$A$2:$A$40,E922)+COUNTIF(Listas!$D$2:$D$60,E922)&gt;0)),"Unidad no reconocida",IF(AND(F922&lt;&gt;"",NOT(ISNUMBER(F922))),"Cantidad no es número",IF(N(F922)&lt;=0,"Falta cantidad",IF(OR(AND(G922&lt;&gt;"",NOT(ISNUMBER(G922))),AND(H922&lt;&gt;"",NOT(ISNUMBER(H922)))),"Precio no es número",IF(N(G922)+N(H922)&lt;=0,"Falta precio","✓ OK")))))))))))</f>
        <v/>
      </c>
      <c r="M922" t="str">
        <f>IF(N922&lt;&gt;"W","",IF(TRIM(C922)&lt;&gt;"",TRIM(C922),IFERROR(LOOKUP(2,1/(N$9:N922="T"),D$9:D922),"")))</f>
        <v/>
      </c>
      <c r="N922" t="str">
        <f t="shared" si="44"/>
        <v/>
      </c>
      <c r="O922" t="str">
        <f>IF(M922="","",IF(COUNTIF(M$9:M922,M922)=1,MAX(O$8:O921)+1,""))</f>
        <v/>
      </c>
    </row>
    <row r="923" spans="1:15" x14ac:dyDescent="0.75">
      <c r="A923" s="24" t="str">
        <f>IF(N923="W",COUNTIF(N$9:N923,"W"),"")</f>
        <v/>
      </c>
      <c r="B923" s="25"/>
      <c r="C923" s="25"/>
      <c r="D923" s="26"/>
      <c r="E923" s="25"/>
      <c r="F923" s="27"/>
      <c r="G923" s="28"/>
      <c r="H923" s="28"/>
      <c r="I923" s="29" t="str">
        <f t="shared" si="42"/>
        <v/>
      </c>
      <c r="J923" s="30" t="str">
        <f t="shared" si="43"/>
        <v/>
      </c>
      <c r="K923" s="26"/>
      <c r="L923" s="24" t="str">
        <f>IF(N923="","",IF(N923="T","Título de capítulo",IF(OR(ISERROR(F923),ISERROR(G923),ISERROR(H923)),"Error en fórmula: pegá como valores",IF(AND(B923="",$C$6=""),"Falta sector",IF(M923="","Falta capítulo",IF(TRIM(E923)="","Falta unidad",IF(NOT((COUNTIF(Listas!$A$2:$A$40,E923)+COUNTIF(Listas!$D$2:$D$60,E923)&gt;0)),"Unidad no reconocida",IF(AND(F923&lt;&gt;"",NOT(ISNUMBER(F923))),"Cantidad no es número",IF(N(F923)&lt;=0,"Falta cantidad",IF(OR(AND(G923&lt;&gt;"",NOT(ISNUMBER(G923))),AND(H923&lt;&gt;"",NOT(ISNUMBER(H923)))),"Precio no es número",IF(N(G923)+N(H923)&lt;=0,"Falta precio","✓ OK")))))))))))</f>
        <v/>
      </c>
      <c r="M923" t="str">
        <f>IF(N923&lt;&gt;"W","",IF(TRIM(C923)&lt;&gt;"",TRIM(C923),IFERROR(LOOKUP(2,1/(N$9:N923="T"),D$9:D923),"")))</f>
        <v/>
      </c>
      <c r="N923" t="str">
        <f t="shared" si="44"/>
        <v/>
      </c>
      <c r="O923" t="str">
        <f>IF(M923="","",IF(COUNTIF(M$9:M923,M923)=1,MAX(O$8:O922)+1,""))</f>
        <v/>
      </c>
    </row>
    <row r="924" spans="1:15" x14ac:dyDescent="0.75">
      <c r="A924" s="24" t="str">
        <f>IF(N924="W",COUNTIF(N$9:N924,"W"),"")</f>
        <v/>
      </c>
      <c r="B924" s="25"/>
      <c r="C924" s="25"/>
      <c r="D924" s="26"/>
      <c r="E924" s="25"/>
      <c r="F924" s="27"/>
      <c r="G924" s="28"/>
      <c r="H924" s="28"/>
      <c r="I924" s="29" t="str">
        <f t="shared" si="42"/>
        <v/>
      </c>
      <c r="J924" s="30" t="str">
        <f t="shared" si="43"/>
        <v/>
      </c>
      <c r="K924" s="26"/>
      <c r="L924" s="24" t="str">
        <f>IF(N924="","",IF(N924="T","Título de capítulo",IF(OR(ISERROR(F924),ISERROR(G924),ISERROR(H924)),"Error en fórmula: pegá como valores",IF(AND(B924="",$C$6=""),"Falta sector",IF(M924="","Falta capítulo",IF(TRIM(E924)="","Falta unidad",IF(NOT((COUNTIF(Listas!$A$2:$A$40,E924)+COUNTIF(Listas!$D$2:$D$60,E924)&gt;0)),"Unidad no reconocida",IF(AND(F924&lt;&gt;"",NOT(ISNUMBER(F924))),"Cantidad no es número",IF(N(F924)&lt;=0,"Falta cantidad",IF(OR(AND(G924&lt;&gt;"",NOT(ISNUMBER(G924))),AND(H924&lt;&gt;"",NOT(ISNUMBER(H924)))),"Precio no es número",IF(N(G924)+N(H924)&lt;=0,"Falta precio","✓ OK")))))))))))</f>
        <v/>
      </c>
      <c r="M924" t="str">
        <f>IF(N924&lt;&gt;"W","",IF(TRIM(C924)&lt;&gt;"",TRIM(C924),IFERROR(LOOKUP(2,1/(N$9:N924="T"),D$9:D924),"")))</f>
        <v/>
      </c>
      <c r="N924" t="str">
        <f t="shared" si="44"/>
        <v/>
      </c>
      <c r="O924" t="str">
        <f>IF(M924="","",IF(COUNTIF(M$9:M924,M924)=1,MAX(O$8:O923)+1,""))</f>
        <v/>
      </c>
    </row>
    <row r="925" spans="1:15" x14ac:dyDescent="0.75">
      <c r="A925" s="24" t="str">
        <f>IF(N925="W",COUNTIF(N$9:N925,"W"),"")</f>
        <v/>
      </c>
      <c r="B925" s="25"/>
      <c r="C925" s="25"/>
      <c r="D925" s="26"/>
      <c r="E925" s="25"/>
      <c r="F925" s="27"/>
      <c r="G925" s="28"/>
      <c r="H925" s="28"/>
      <c r="I925" s="29" t="str">
        <f t="shared" si="42"/>
        <v/>
      </c>
      <c r="J925" s="30" t="str">
        <f t="shared" si="43"/>
        <v/>
      </c>
      <c r="K925" s="26"/>
      <c r="L925" s="24" t="str">
        <f>IF(N925="","",IF(N925="T","Título de capítulo",IF(OR(ISERROR(F925),ISERROR(G925),ISERROR(H925)),"Error en fórmula: pegá como valores",IF(AND(B925="",$C$6=""),"Falta sector",IF(M925="","Falta capítulo",IF(TRIM(E925)="","Falta unidad",IF(NOT((COUNTIF(Listas!$A$2:$A$40,E925)+COUNTIF(Listas!$D$2:$D$60,E925)&gt;0)),"Unidad no reconocida",IF(AND(F925&lt;&gt;"",NOT(ISNUMBER(F925))),"Cantidad no es número",IF(N(F925)&lt;=0,"Falta cantidad",IF(OR(AND(G925&lt;&gt;"",NOT(ISNUMBER(G925))),AND(H925&lt;&gt;"",NOT(ISNUMBER(H925)))),"Precio no es número",IF(N(G925)+N(H925)&lt;=0,"Falta precio","✓ OK")))))))))))</f>
        <v/>
      </c>
      <c r="M925" t="str">
        <f>IF(N925&lt;&gt;"W","",IF(TRIM(C925)&lt;&gt;"",TRIM(C925),IFERROR(LOOKUP(2,1/(N$9:N925="T"),D$9:D925),"")))</f>
        <v/>
      </c>
      <c r="N925" t="str">
        <f t="shared" si="44"/>
        <v/>
      </c>
      <c r="O925" t="str">
        <f>IF(M925="","",IF(COUNTIF(M$9:M925,M925)=1,MAX(O$8:O924)+1,""))</f>
        <v/>
      </c>
    </row>
    <row r="926" spans="1:15" x14ac:dyDescent="0.75">
      <c r="A926" s="24" t="str">
        <f>IF(N926="W",COUNTIF(N$9:N926,"W"),"")</f>
        <v/>
      </c>
      <c r="B926" s="25"/>
      <c r="C926" s="25"/>
      <c r="D926" s="26"/>
      <c r="E926" s="25"/>
      <c r="F926" s="27"/>
      <c r="G926" s="28"/>
      <c r="H926" s="28"/>
      <c r="I926" s="29" t="str">
        <f t="shared" si="42"/>
        <v/>
      </c>
      <c r="J926" s="30" t="str">
        <f t="shared" si="43"/>
        <v/>
      </c>
      <c r="K926" s="26"/>
      <c r="L926" s="24" t="str">
        <f>IF(N926="","",IF(N926="T","Título de capítulo",IF(OR(ISERROR(F926),ISERROR(G926),ISERROR(H926)),"Error en fórmula: pegá como valores",IF(AND(B926="",$C$6=""),"Falta sector",IF(M926="","Falta capítulo",IF(TRIM(E926)="","Falta unidad",IF(NOT((COUNTIF(Listas!$A$2:$A$40,E926)+COUNTIF(Listas!$D$2:$D$60,E926)&gt;0)),"Unidad no reconocida",IF(AND(F926&lt;&gt;"",NOT(ISNUMBER(F926))),"Cantidad no es número",IF(N(F926)&lt;=0,"Falta cantidad",IF(OR(AND(G926&lt;&gt;"",NOT(ISNUMBER(G926))),AND(H926&lt;&gt;"",NOT(ISNUMBER(H926)))),"Precio no es número",IF(N(G926)+N(H926)&lt;=0,"Falta precio","✓ OK")))))))))))</f>
        <v/>
      </c>
      <c r="M926" t="str">
        <f>IF(N926&lt;&gt;"W","",IF(TRIM(C926)&lt;&gt;"",TRIM(C926),IFERROR(LOOKUP(2,1/(N$9:N926="T"),D$9:D926),"")))</f>
        <v/>
      </c>
      <c r="N926" t="str">
        <f t="shared" si="44"/>
        <v/>
      </c>
      <c r="O926" t="str">
        <f>IF(M926="","",IF(COUNTIF(M$9:M926,M926)=1,MAX(O$8:O925)+1,""))</f>
        <v/>
      </c>
    </row>
    <row r="927" spans="1:15" x14ac:dyDescent="0.75">
      <c r="A927" s="24" t="str">
        <f>IF(N927="W",COUNTIF(N$9:N927,"W"),"")</f>
        <v/>
      </c>
      <c r="B927" s="25"/>
      <c r="C927" s="25"/>
      <c r="D927" s="26"/>
      <c r="E927" s="25"/>
      <c r="F927" s="27"/>
      <c r="G927" s="28"/>
      <c r="H927" s="28"/>
      <c r="I927" s="29" t="str">
        <f t="shared" si="42"/>
        <v/>
      </c>
      <c r="J927" s="30" t="str">
        <f t="shared" si="43"/>
        <v/>
      </c>
      <c r="K927" s="26"/>
      <c r="L927" s="24" t="str">
        <f>IF(N927="","",IF(N927="T","Título de capítulo",IF(OR(ISERROR(F927),ISERROR(G927),ISERROR(H927)),"Error en fórmula: pegá como valores",IF(AND(B927="",$C$6=""),"Falta sector",IF(M927="","Falta capítulo",IF(TRIM(E927)="","Falta unidad",IF(NOT((COUNTIF(Listas!$A$2:$A$40,E927)+COUNTIF(Listas!$D$2:$D$60,E927)&gt;0)),"Unidad no reconocida",IF(AND(F927&lt;&gt;"",NOT(ISNUMBER(F927))),"Cantidad no es número",IF(N(F927)&lt;=0,"Falta cantidad",IF(OR(AND(G927&lt;&gt;"",NOT(ISNUMBER(G927))),AND(H927&lt;&gt;"",NOT(ISNUMBER(H927)))),"Precio no es número",IF(N(G927)+N(H927)&lt;=0,"Falta precio","✓ OK")))))))))))</f>
        <v/>
      </c>
      <c r="M927" t="str">
        <f>IF(N927&lt;&gt;"W","",IF(TRIM(C927)&lt;&gt;"",TRIM(C927),IFERROR(LOOKUP(2,1/(N$9:N927="T"),D$9:D927),"")))</f>
        <v/>
      </c>
      <c r="N927" t="str">
        <f t="shared" si="44"/>
        <v/>
      </c>
      <c r="O927" t="str">
        <f>IF(M927="","",IF(COUNTIF(M$9:M927,M927)=1,MAX(O$8:O926)+1,""))</f>
        <v/>
      </c>
    </row>
    <row r="928" spans="1:15" x14ac:dyDescent="0.75">
      <c r="A928" s="24" t="str">
        <f>IF(N928="W",COUNTIF(N$9:N928,"W"),"")</f>
        <v/>
      </c>
      <c r="B928" s="25"/>
      <c r="C928" s="25"/>
      <c r="D928" s="26"/>
      <c r="E928" s="25"/>
      <c r="F928" s="27"/>
      <c r="G928" s="28"/>
      <c r="H928" s="28"/>
      <c r="I928" s="29" t="str">
        <f t="shared" si="42"/>
        <v/>
      </c>
      <c r="J928" s="30" t="str">
        <f t="shared" si="43"/>
        <v/>
      </c>
      <c r="K928" s="26"/>
      <c r="L928" s="24" t="str">
        <f>IF(N928="","",IF(N928="T","Título de capítulo",IF(OR(ISERROR(F928),ISERROR(G928),ISERROR(H928)),"Error en fórmula: pegá como valores",IF(AND(B928="",$C$6=""),"Falta sector",IF(M928="","Falta capítulo",IF(TRIM(E928)="","Falta unidad",IF(NOT((COUNTIF(Listas!$A$2:$A$40,E928)+COUNTIF(Listas!$D$2:$D$60,E928)&gt;0)),"Unidad no reconocida",IF(AND(F928&lt;&gt;"",NOT(ISNUMBER(F928))),"Cantidad no es número",IF(N(F928)&lt;=0,"Falta cantidad",IF(OR(AND(G928&lt;&gt;"",NOT(ISNUMBER(G928))),AND(H928&lt;&gt;"",NOT(ISNUMBER(H928)))),"Precio no es número",IF(N(G928)+N(H928)&lt;=0,"Falta precio","✓ OK")))))))))))</f>
        <v/>
      </c>
      <c r="M928" t="str">
        <f>IF(N928&lt;&gt;"W","",IF(TRIM(C928)&lt;&gt;"",TRIM(C928),IFERROR(LOOKUP(2,1/(N$9:N928="T"),D$9:D928),"")))</f>
        <v/>
      </c>
      <c r="N928" t="str">
        <f t="shared" si="44"/>
        <v/>
      </c>
      <c r="O928" t="str">
        <f>IF(M928="","",IF(COUNTIF(M$9:M928,M928)=1,MAX(O$8:O927)+1,""))</f>
        <v/>
      </c>
    </row>
    <row r="929" spans="1:15" x14ac:dyDescent="0.75">
      <c r="A929" s="24" t="str">
        <f>IF(N929="W",COUNTIF(N$9:N929,"W"),"")</f>
        <v/>
      </c>
      <c r="B929" s="25"/>
      <c r="C929" s="25"/>
      <c r="D929" s="26"/>
      <c r="E929" s="25"/>
      <c r="F929" s="27"/>
      <c r="G929" s="28"/>
      <c r="H929" s="28"/>
      <c r="I929" s="29" t="str">
        <f t="shared" si="42"/>
        <v/>
      </c>
      <c r="J929" s="30" t="str">
        <f t="shared" si="43"/>
        <v/>
      </c>
      <c r="K929" s="26"/>
      <c r="L929" s="24" t="str">
        <f>IF(N929="","",IF(N929="T","Título de capítulo",IF(OR(ISERROR(F929),ISERROR(G929),ISERROR(H929)),"Error en fórmula: pegá como valores",IF(AND(B929="",$C$6=""),"Falta sector",IF(M929="","Falta capítulo",IF(TRIM(E929)="","Falta unidad",IF(NOT((COUNTIF(Listas!$A$2:$A$40,E929)+COUNTIF(Listas!$D$2:$D$60,E929)&gt;0)),"Unidad no reconocida",IF(AND(F929&lt;&gt;"",NOT(ISNUMBER(F929))),"Cantidad no es número",IF(N(F929)&lt;=0,"Falta cantidad",IF(OR(AND(G929&lt;&gt;"",NOT(ISNUMBER(G929))),AND(H929&lt;&gt;"",NOT(ISNUMBER(H929)))),"Precio no es número",IF(N(G929)+N(H929)&lt;=0,"Falta precio","✓ OK")))))))))))</f>
        <v/>
      </c>
      <c r="M929" t="str">
        <f>IF(N929&lt;&gt;"W","",IF(TRIM(C929)&lt;&gt;"",TRIM(C929),IFERROR(LOOKUP(2,1/(N$9:N929="T"),D$9:D929),"")))</f>
        <v/>
      </c>
      <c r="N929" t="str">
        <f t="shared" si="44"/>
        <v/>
      </c>
      <c r="O929" t="str">
        <f>IF(M929="","",IF(COUNTIF(M$9:M929,M929)=1,MAX(O$8:O928)+1,""))</f>
        <v/>
      </c>
    </row>
    <row r="930" spans="1:15" x14ac:dyDescent="0.75">
      <c r="A930" s="24" t="str">
        <f>IF(N930="W",COUNTIF(N$9:N930,"W"),"")</f>
        <v/>
      </c>
      <c r="B930" s="25"/>
      <c r="C930" s="25"/>
      <c r="D930" s="26"/>
      <c r="E930" s="25"/>
      <c r="F930" s="27"/>
      <c r="G930" s="28"/>
      <c r="H930" s="28"/>
      <c r="I930" s="29" t="str">
        <f t="shared" si="42"/>
        <v/>
      </c>
      <c r="J930" s="30" t="str">
        <f t="shared" si="43"/>
        <v/>
      </c>
      <c r="K930" s="26"/>
      <c r="L930" s="24" t="str">
        <f>IF(N930="","",IF(N930="T","Título de capítulo",IF(OR(ISERROR(F930),ISERROR(G930),ISERROR(H930)),"Error en fórmula: pegá como valores",IF(AND(B930="",$C$6=""),"Falta sector",IF(M930="","Falta capítulo",IF(TRIM(E930)="","Falta unidad",IF(NOT((COUNTIF(Listas!$A$2:$A$40,E930)+COUNTIF(Listas!$D$2:$D$60,E930)&gt;0)),"Unidad no reconocida",IF(AND(F930&lt;&gt;"",NOT(ISNUMBER(F930))),"Cantidad no es número",IF(N(F930)&lt;=0,"Falta cantidad",IF(OR(AND(G930&lt;&gt;"",NOT(ISNUMBER(G930))),AND(H930&lt;&gt;"",NOT(ISNUMBER(H930)))),"Precio no es número",IF(N(G930)+N(H930)&lt;=0,"Falta precio","✓ OK")))))))))))</f>
        <v/>
      </c>
      <c r="M930" t="str">
        <f>IF(N930&lt;&gt;"W","",IF(TRIM(C930)&lt;&gt;"",TRIM(C930),IFERROR(LOOKUP(2,1/(N$9:N930="T"),D$9:D930),"")))</f>
        <v/>
      </c>
      <c r="N930" t="str">
        <f t="shared" si="44"/>
        <v/>
      </c>
      <c r="O930" t="str">
        <f>IF(M930="","",IF(COUNTIF(M$9:M930,M930)=1,MAX(O$8:O929)+1,""))</f>
        <v/>
      </c>
    </row>
    <row r="931" spans="1:15" x14ac:dyDescent="0.75">
      <c r="A931" s="24" t="str">
        <f>IF(N931="W",COUNTIF(N$9:N931,"W"),"")</f>
        <v/>
      </c>
      <c r="B931" s="25"/>
      <c r="C931" s="25"/>
      <c r="D931" s="26"/>
      <c r="E931" s="25"/>
      <c r="F931" s="27"/>
      <c r="G931" s="28"/>
      <c r="H931" s="28"/>
      <c r="I931" s="29" t="str">
        <f t="shared" si="42"/>
        <v/>
      </c>
      <c r="J931" s="30" t="str">
        <f t="shared" si="43"/>
        <v/>
      </c>
      <c r="K931" s="26"/>
      <c r="L931" s="24" t="str">
        <f>IF(N931="","",IF(N931="T","Título de capítulo",IF(OR(ISERROR(F931),ISERROR(G931),ISERROR(H931)),"Error en fórmula: pegá como valores",IF(AND(B931="",$C$6=""),"Falta sector",IF(M931="","Falta capítulo",IF(TRIM(E931)="","Falta unidad",IF(NOT((COUNTIF(Listas!$A$2:$A$40,E931)+COUNTIF(Listas!$D$2:$D$60,E931)&gt;0)),"Unidad no reconocida",IF(AND(F931&lt;&gt;"",NOT(ISNUMBER(F931))),"Cantidad no es número",IF(N(F931)&lt;=0,"Falta cantidad",IF(OR(AND(G931&lt;&gt;"",NOT(ISNUMBER(G931))),AND(H931&lt;&gt;"",NOT(ISNUMBER(H931)))),"Precio no es número",IF(N(G931)+N(H931)&lt;=0,"Falta precio","✓ OK")))))))))))</f>
        <v/>
      </c>
      <c r="M931" t="str">
        <f>IF(N931&lt;&gt;"W","",IF(TRIM(C931)&lt;&gt;"",TRIM(C931),IFERROR(LOOKUP(2,1/(N$9:N931="T"),D$9:D931),"")))</f>
        <v/>
      </c>
      <c r="N931" t="str">
        <f t="shared" si="44"/>
        <v/>
      </c>
      <c r="O931" t="str">
        <f>IF(M931="","",IF(COUNTIF(M$9:M931,M931)=1,MAX(O$8:O930)+1,""))</f>
        <v/>
      </c>
    </row>
    <row r="932" spans="1:15" x14ac:dyDescent="0.75">
      <c r="A932" s="24" t="str">
        <f>IF(N932="W",COUNTIF(N$9:N932,"W"),"")</f>
        <v/>
      </c>
      <c r="B932" s="25"/>
      <c r="C932" s="25"/>
      <c r="D932" s="26"/>
      <c r="E932" s="25"/>
      <c r="F932" s="27"/>
      <c r="G932" s="28"/>
      <c r="H932" s="28"/>
      <c r="I932" s="29" t="str">
        <f t="shared" si="42"/>
        <v/>
      </c>
      <c r="J932" s="30" t="str">
        <f t="shared" si="43"/>
        <v/>
      </c>
      <c r="K932" s="26"/>
      <c r="L932" s="24" t="str">
        <f>IF(N932="","",IF(N932="T","Título de capítulo",IF(OR(ISERROR(F932),ISERROR(G932),ISERROR(H932)),"Error en fórmula: pegá como valores",IF(AND(B932="",$C$6=""),"Falta sector",IF(M932="","Falta capítulo",IF(TRIM(E932)="","Falta unidad",IF(NOT((COUNTIF(Listas!$A$2:$A$40,E932)+COUNTIF(Listas!$D$2:$D$60,E932)&gt;0)),"Unidad no reconocida",IF(AND(F932&lt;&gt;"",NOT(ISNUMBER(F932))),"Cantidad no es número",IF(N(F932)&lt;=0,"Falta cantidad",IF(OR(AND(G932&lt;&gt;"",NOT(ISNUMBER(G932))),AND(H932&lt;&gt;"",NOT(ISNUMBER(H932)))),"Precio no es número",IF(N(G932)+N(H932)&lt;=0,"Falta precio","✓ OK")))))))))))</f>
        <v/>
      </c>
      <c r="M932" t="str">
        <f>IF(N932&lt;&gt;"W","",IF(TRIM(C932)&lt;&gt;"",TRIM(C932),IFERROR(LOOKUP(2,1/(N$9:N932="T"),D$9:D932),"")))</f>
        <v/>
      </c>
      <c r="N932" t="str">
        <f t="shared" si="44"/>
        <v/>
      </c>
      <c r="O932" t="str">
        <f>IF(M932="","",IF(COUNTIF(M$9:M932,M932)=1,MAX(O$8:O931)+1,""))</f>
        <v/>
      </c>
    </row>
    <row r="933" spans="1:15" x14ac:dyDescent="0.75">
      <c r="A933" s="24" t="str">
        <f>IF(N933="W",COUNTIF(N$9:N933,"W"),"")</f>
        <v/>
      </c>
      <c r="B933" s="25"/>
      <c r="C933" s="25"/>
      <c r="D933" s="26"/>
      <c r="E933" s="25"/>
      <c r="F933" s="27"/>
      <c r="G933" s="28"/>
      <c r="H933" s="28"/>
      <c r="I933" s="29" t="str">
        <f t="shared" si="42"/>
        <v/>
      </c>
      <c r="J933" s="30" t="str">
        <f t="shared" si="43"/>
        <v/>
      </c>
      <c r="K933" s="26"/>
      <c r="L933" s="24" t="str">
        <f>IF(N933="","",IF(N933="T","Título de capítulo",IF(OR(ISERROR(F933),ISERROR(G933),ISERROR(H933)),"Error en fórmula: pegá como valores",IF(AND(B933="",$C$6=""),"Falta sector",IF(M933="","Falta capítulo",IF(TRIM(E933)="","Falta unidad",IF(NOT((COUNTIF(Listas!$A$2:$A$40,E933)+COUNTIF(Listas!$D$2:$D$60,E933)&gt;0)),"Unidad no reconocida",IF(AND(F933&lt;&gt;"",NOT(ISNUMBER(F933))),"Cantidad no es número",IF(N(F933)&lt;=0,"Falta cantidad",IF(OR(AND(G933&lt;&gt;"",NOT(ISNUMBER(G933))),AND(H933&lt;&gt;"",NOT(ISNUMBER(H933)))),"Precio no es número",IF(N(G933)+N(H933)&lt;=0,"Falta precio","✓ OK")))))))))))</f>
        <v/>
      </c>
      <c r="M933" t="str">
        <f>IF(N933&lt;&gt;"W","",IF(TRIM(C933)&lt;&gt;"",TRIM(C933),IFERROR(LOOKUP(2,1/(N$9:N933="T"),D$9:D933),"")))</f>
        <v/>
      </c>
      <c r="N933" t="str">
        <f t="shared" si="44"/>
        <v/>
      </c>
      <c r="O933" t="str">
        <f>IF(M933="","",IF(COUNTIF(M$9:M933,M933)=1,MAX(O$8:O932)+1,""))</f>
        <v/>
      </c>
    </row>
    <row r="934" spans="1:15" x14ac:dyDescent="0.75">
      <c r="A934" s="24" t="str">
        <f>IF(N934="W",COUNTIF(N$9:N934,"W"),"")</f>
        <v/>
      </c>
      <c r="B934" s="25"/>
      <c r="C934" s="25"/>
      <c r="D934" s="26"/>
      <c r="E934" s="25"/>
      <c r="F934" s="27"/>
      <c r="G934" s="28"/>
      <c r="H934" s="28"/>
      <c r="I934" s="29" t="str">
        <f t="shared" si="42"/>
        <v/>
      </c>
      <c r="J934" s="30" t="str">
        <f t="shared" si="43"/>
        <v/>
      </c>
      <c r="K934" s="26"/>
      <c r="L934" s="24" t="str">
        <f>IF(N934="","",IF(N934="T","Título de capítulo",IF(OR(ISERROR(F934),ISERROR(G934),ISERROR(H934)),"Error en fórmula: pegá como valores",IF(AND(B934="",$C$6=""),"Falta sector",IF(M934="","Falta capítulo",IF(TRIM(E934)="","Falta unidad",IF(NOT((COUNTIF(Listas!$A$2:$A$40,E934)+COUNTIF(Listas!$D$2:$D$60,E934)&gt;0)),"Unidad no reconocida",IF(AND(F934&lt;&gt;"",NOT(ISNUMBER(F934))),"Cantidad no es número",IF(N(F934)&lt;=0,"Falta cantidad",IF(OR(AND(G934&lt;&gt;"",NOT(ISNUMBER(G934))),AND(H934&lt;&gt;"",NOT(ISNUMBER(H934)))),"Precio no es número",IF(N(G934)+N(H934)&lt;=0,"Falta precio","✓ OK")))))))))))</f>
        <v/>
      </c>
      <c r="M934" t="str">
        <f>IF(N934&lt;&gt;"W","",IF(TRIM(C934)&lt;&gt;"",TRIM(C934),IFERROR(LOOKUP(2,1/(N$9:N934="T"),D$9:D934),"")))</f>
        <v/>
      </c>
      <c r="N934" t="str">
        <f t="shared" si="44"/>
        <v/>
      </c>
      <c r="O934" t="str">
        <f>IF(M934="","",IF(COUNTIF(M$9:M934,M934)=1,MAX(O$8:O933)+1,""))</f>
        <v/>
      </c>
    </row>
    <row r="935" spans="1:15" x14ac:dyDescent="0.75">
      <c r="A935" s="24" t="str">
        <f>IF(N935="W",COUNTIF(N$9:N935,"W"),"")</f>
        <v/>
      </c>
      <c r="B935" s="25"/>
      <c r="C935" s="25"/>
      <c r="D935" s="26"/>
      <c r="E935" s="25"/>
      <c r="F935" s="27"/>
      <c r="G935" s="28"/>
      <c r="H935" s="28"/>
      <c r="I935" s="29" t="str">
        <f t="shared" si="42"/>
        <v/>
      </c>
      <c r="J935" s="30" t="str">
        <f t="shared" si="43"/>
        <v/>
      </c>
      <c r="K935" s="26"/>
      <c r="L935" s="24" t="str">
        <f>IF(N935="","",IF(N935="T","Título de capítulo",IF(OR(ISERROR(F935),ISERROR(G935),ISERROR(H935)),"Error en fórmula: pegá como valores",IF(AND(B935="",$C$6=""),"Falta sector",IF(M935="","Falta capítulo",IF(TRIM(E935)="","Falta unidad",IF(NOT((COUNTIF(Listas!$A$2:$A$40,E935)+COUNTIF(Listas!$D$2:$D$60,E935)&gt;0)),"Unidad no reconocida",IF(AND(F935&lt;&gt;"",NOT(ISNUMBER(F935))),"Cantidad no es número",IF(N(F935)&lt;=0,"Falta cantidad",IF(OR(AND(G935&lt;&gt;"",NOT(ISNUMBER(G935))),AND(H935&lt;&gt;"",NOT(ISNUMBER(H935)))),"Precio no es número",IF(N(G935)+N(H935)&lt;=0,"Falta precio","✓ OK")))))))))))</f>
        <v/>
      </c>
      <c r="M935" t="str">
        <f>IF(N935&lt;&gt;"W","",IF(TRIM(C935)&lt;&gt;"",TRIM(C935),IFERROR(LOOKUP(2,1/(N$9:N935="T"),D$9:D935),"")))</f>
        <v/>
      </c>
      <c r="N935" t="str">
        <f t="shared" si="44"/>
        <v/>
      </c>
      <c r="O935" t="str">
        <f>IF(M935="","",IF(COUNTIF(M$9:M935,M935)=1,MAX(O$8:O934)+1,""))</f>
        <v/>
      </c>
    </row>
    <row r="936" spans="1:15" x14ac:dyDescent="0.75">
      <c r="A936" s="24" t="str">
        <f>IF(N936="W",COUNTIF(N$9:N936,"W"),"")</f>
        <v/>
      </c>
      <c r="B936" s="25"/>
      <c r="C936" s="25"/>
      <c r="D936" s="26"/>
      <c r="E936" s="25"/>
      <c r="F936" s="27"/>
      <c r="G936" s="28"/>
      <c r="H936" s="28"/>
      <c r="I936" s="29" t="str">
        <f t="shared" si="42"/>
        <v/>
      </c>
      <c r="J936" s="30" t="str">
        <f t="shared" si="43"/>
        <v/>
      </c>
      <c r="K936" s="26"/>
      <c r="L936" s="24" t="str">
        <f>IF(N936="","",IF(N936="T","Título de capítulo",IF(OR(ISERROR(F936),ISERROR(G936),ISERROR(H936)),"Error en fórmula: pegá como valores",IF(AND(B936="",$C$6=""),"Falta sector",IF(M936="","Falta capítulo",IF(TRIM(E936)="","Falta unidad",IF(NOT((COUNTIF(Listas!$A$2:$A$40,E936)+COUNTIF(Listas!$D$2:$D$60,E936)&gt;0)),"Unidad no reconocida",IF(AND(F936&lt;&gt;"",NOT(ISNUMBER(F936))),"Cantidad no es número",IF(N(F936)&lt;=0,"Falta cantidad",IF(OR(AND(G936&lt;&gt;"",NOT(ISNUMBER(G936))),AND(H936&lt;&gt;"",NOT(ISNUMBER(H936)))),"Precio no es número",IF(N(G936)+N(H936)&lt;=0,"Falta precio","✓ OK")))))))))))</f>
        <v/>
      </c>
      <c r="M936" t="str">
        <f>IF(N936&lt;&gt;"W","",IF(TRIM(C936)&lt;&gt;"",TRIM(C936),IFERROR(LOOKUP(2,1/(N$9:N936="T"),D$9:D936),"")))</f>
        <v/>
      </c>
      <c r="N936" t="str">
        <f t="shared" si="44"/>
        <v/>
      </c>
      <c r="O936" t="str">
        <f>IF(M936="","",IF(COUNTIF(M$9:M936,M936)=1,MAX(O$8:O935)+1,""))</f>
        <v/>
      </c>
    </row>
    <row r="937" spans="1:15" x14ac:dyDescent="0.75">
      <c r="A937" s="24" t="str">
        <f>IF(N937="W",COUNTIF(N$9:N937,"W"),"")</f>
        <v/>
      </c>
      <c r="B937" s="25"/>
      <c r="C937" s="25"/>
      <c r="D937" s="26"/>
      <c r="E937" s="25"/>
      <c r="F937" s="27"/>
      <c r="G937" s="28"/>
      <c r="H937" s="28"/>
      <c r="I937" s="29" t="str">
        <f t="shared" si="42"/>
        <v/>
      </c>
      <c r="J937" s="30" t="str">
        <f t="shared" si="43"/>
        <v/>
      </c>
      <c r="K937" s="26"/>
      <c r="L937" s="24" t="str">
        <f>IF(N937="","",IF(N937="T","Título de capítulo",IF(OR(ISERROR(F937),ISERROR(G937),ISERROR(H937)),"Error en fórmula: pegá como valores",IF(AND(B937="",$C$6=""),"Falta sector",IF(M937="","Falta capítulo",IF(TRIM(E937)="","Falta unidad",IF(NOT((COUNTIF(Listas!$A$2:$A$40,E937)+COUNTIF(Listas!$D$2:$D$60,E937)&gt;0)),"Unidad no reconocida",IF(AND(F937&lt;&gt;"",NOT(ISNUMBER(F937))),"Cantidad no es número",IF(N(F937)&lt;=0,"Falta cantidad",IF(OR(AND(G937&lt;&gt;"",NOT(ISNUMBER(G937))),AND(H937&lt;&gt;"",NOT(ISNUMBER(H937)))),"Precio no es número",IF(N(G937)+N(H937)&lt;=0,"Falta precio","✓ OK")))))))))))</f>
        <v/>
      </c>
      <c r="M937" t="str">
        <f>IF(N937&lt;&gt;"W","",IF(TRIM(C937)&lt;&gt;"",TRIM(C937),IFERROR(LOOKUP(2,1/(N$9:N937="T"),D$9:D937),"")))</f>
        <v/>
      </c>
      <c r="N937" t="str">
        <f t="shared" si="44"/>
        <v/>
      </c>
      <c r="O937" t="str">
        <f>IF(M937="","",IF(COUNTIF(M$9:M937,M937)=1,MAX(O$8:O936)+1,""))</f>
        <v/>
      </c>
    </row>
    <row r="938" spans="1:15" x14ac:dyDescent="0.75">
      <c r="A938" s="24" t="str">
        <f>IF(N938="W",COUNTIF(N$9:N938,"W"),"")</f>
        <v/>
      </c>
      <c r="B938" s="25"/>
      <c r="C938" s="25"/>
      <c r="D938" s="26"/>
      <c r="E938" s="25"/>
      <c r="F938" s="27"/>
      <c r="G938" s="28"/>
      <c r="H938" s="28"/>
      <c r="I938" s="29" t="str">
        <f t="shared" si="42"/>
        <v/>
      </c>
      <c r="J938" s="30" t="str">
        <f t="shared" si="43"/>
        <v/>
      </c>
      <c r="K938" s="26"/>
      <c r="L938" s="24" t="str">
        <f>IF(N938="","",IF(N938="T","Título de capítulo",IF(OR(ISERROR(F938),ISERROR(G938),ISERROR(H938)),"Error en fórmula: pegá como valores",IF(AND(B938="",$C$6=""),"Falta sector",IF(M938="","Falta capítulo",IF(TRIM(E938)="","Falta unidad",IF(NOT((COUNTIF(Listas!$A$2:$A$40,E938)+COUNTIF(Listas!$D$2:$D$60,E938)&gt;0)),"Unidad no reconocida",IF(AND(F938&lt;&gt;"",NOT(ISNUMBER(F938))),"Cantidad no es número",IF(N(F938)&lt;=0,"Falta cantidad",IF(OR(AND(G938&lt;&gt;"",NOT(ISNUMBER(G938))),AND(H938&lt;&gt;"",NOT(ISNUMBER(H938)))),"Precio no es número",IF(N(G938)+N(H938)&lt;=0,"Falta precio","✓ OK")))))))))))</f>
        <v/>
      </c>
      <c r="M938" t="str">
        <f>IF(N938&lt;&gt;"W","",IF(TRIM(C938)&lt;&gt;"",TRIM(C938),IFERROR(LOOKUP(2,1/(N$9:N938="T"),D$9:D938),"")))</f>
        <v/>
      </c>
      <c r="N938" t="str">
        <f t="shared" si="44"/>
        <v/>
      </c>
      <c r="O938" t="str">
        <f>IF(M938="","",IF(COUNTIF(M$9:M938,M938)=1,MAX(O$8:O937)+1,""))</f>
        <v/>
      </c>
    </row>
    <row r="939" spans="1:15" x14ac:dyDescent="0.75">
      <c r="A939" s="24" t="str">
        <f>IF(N939="W",COUNTIF(N$9:N939,"W"),"")</f>
        <v/>
      </c>
      <c r="B939" s="25"/>
      <c r="C939" s="25"/>
      <c r="D939" s="26"/>
      <c r="E939" s="25"/>
      <c r="F939" s="27"/>
      <c r="G939" s="28"/>
      <c r="H939" s="28"/>
      <c r="I939" s="29" t="str">
        <f t="shared" si="42"/>
        <v/>
      </c>
      <c r="J939" s="30" t="str">
        <f t="shared" si="43"/>
        <v/>
      </c>
      <c r="K939" s="26"/>
      <c r="L939" s="24" t="str">
        <f>IF(N939="","",IF(N939="T","Título de capítulo",IF(OR(ISERROR(F939),ISERROR(G939),ISERROR(H939)),"Error en fórmula: pegá como valores",IF(AND(B939="",$C$6=""),"Falta sector",IF(M939="","Falta capítulo",IF(TRIM(E939)="","Falta unidad",IF(NOT((COUNTIF(Listas!$A$2:$A$40,E939)+COUNTIF(Listas!$D$2:$D$60,E939)&gt;0)),"Unidad no reconocida",IF(AND(F939&lt;&gt;"",NOT(ISNUMBER(F939))),"Cantidad no es número",IF(N(F939)&lt;=0,"Falta cantidad",IF(OR(AND(G939&lt;&gt;"",NOT(ISNUMBER(G939))),AND(H939&lt;&gt;"",NOT(ISNUMBER(H939)))),"Precio no es número",IF(N(G939)+N(H939)&lt;=0,"Falta precio","✓ OK")))))))))))</f>
        <v/>
      </c>
      <c r="M939" t="str">
        <f>IF(N939&lt;&gt;"W","",IF(TRIM(C939)&lt;&gt;"",TRIM(C939),IFERROR(LOOKUP(2,1/(N$9:N939="T"),D$9:D939),"")))</f>
        <v/>
      </c>
      <c r="N939" t="str">
        <f t="shared" si="44"/>
        <v/>
      </c>
      <c r="O939" t="str">
        <f>IF(M939="","",IF(COUNTIF(M$9:M939,M939)=1,MAX(O$8:O938)+1,""))</f>
        <v/>
      </c>
    </row>
    <row r="940" spans="1:15" x14ac:dyDescent="0.75">
      <c r="A940" s="24" t="str">
        <f>IF(N940="W",COUNTIF(N$9:N940,"W"),"")</f>
        <v/>
      </c>
      <c r="B940" s="25"/>
      <c r="C940" s="25"/>
      <c r="D940" s="26"/>
      <c r="E940" s="25"/>
      <c r="F940" s="27"/>
      <c r="G940" s="28"/>
      <c r="H940" s="28"/>
      <c r="I940" s="29" t="str">
        <f t="shared" si="42"/>
        <v/>
      </c>
      <c r="J940" s="30" t="str">
        <f t="shared" si="43"/>
        <v/>
      </c>
      <c r="K940" s="26"/>
      <c r="L940" s="24" t="str">
        <f>IF(N940="","",IF(N940="T","Título de capítulo",IF(OR(ISERROR(F940),ISERROR(G940),ISERROR(H940)),"Error en fórmula: pegá como valores",IF(AND(B940="",$C$6=""),"Falta sector",IF(M940="","Falta capítulo",IF(TRIM(E940)="","Falta unidad",IF(NOT((COUNTIF(Listas!$A$2:$A$40,E940)+COUNTIF(Listas!$D$2:$D$60,E940)&gt;0)),"Unidad no reconocida",IF(AND(F940&lt;&gt;"",NOT(ISNUMBER(F940))),"Cantidad no es número",IF(N(F940)&lt;=0,"Falta cantidad",IF(OR(AND(G940&lt;&gt;"",NOT(ISNUMBER(G940))),AND(H940&lt;&gt;"",NOT(ISNUMBER(H940)))),"Precio no es número",IF(N(G940)+N(H940)&lt;=0,"Falta precio","✓ OK")))))))))))</f>
        <v/>
      </c>
      <c r="M940" t="str">
        <f>IF(N940&lt;&gt;"W","",IF(TRIM(C940)&lt;&gt;"",TRIM(C940),IFERROR(LOOKUP(2,1/(N$9:N940="T"),D$9:D940),"")))</f>
        <v/>
      </c>
      <c r="N940" t="str">
        <f t="shared" si="44"/>
        <v/>
      </c>
      <c r="O940" t="str">
        <f>IF(M940="","",IF(COUNTIF(M$9:M940,M940)=1,MAX(O$8:O939)+1,""))</f>
        <v/>
      </c>
    </row>
    <row r="941" spans="1:15" x14ac:dyDescent="0.75">
      <c r="A941" s="24" t="str">
        <f>IF(N941="W",COUNTIF(N$9:N941,"W"),"")</f>
        <v/>
      </c>
      <c r="B941" s="25"/>
      <c r="C941" s="25"/>
      <c r="D941" s="26"/>
      <c r="E941" s="25"/>
      <c r="F941" s="27"/>
      <c r="G941" s="28"/>
      <c r="H941" s="28"/>
      <c r="I941" s="29" t="str">
        <f t="shared" si="42"/>
        <v/>
      </c>
      <c r="J941" s="30" t="str">
        <f t="shared" si="43"/>
        <v/>
      </c>
      <c r="K941" s="26"/>
      <c r="L941" s="24" t="str">
        <f>IF(N941="","",IF(N941="T","Título de capítulo",IF(OR(ISERROR(F941),ISERROR(G941),ISERROR(H941)),"Error en fórmula: pegá como valores",IF(AND(B941="",$C$6=""),"Falta sector",IF(M941="","Falta capítulo",IF(TRIM(E941)="","Falta unidad",IF(NOT((COUNTIF(Listas!$A$2:$A$40,E941)+COUNTIF(Listas!$D$2:$D$60,E941)&gt;0)),"Unidad no reconocida",IF(AND(F941&lt;&gt;"",NOT(ISNUMBER(F941))),"Cantidad no es número",IF(N(F941)&lt;=0,"Falta cantidad",IF(OR(AND(G941&lt;&gt;"",NOT(ISNUMBER(G941))),AND(H941&lt;&gt;"",NOT(ISNUMBER(H941)))),"Precio no es número",IF(N(G941)+N(H941)&lt;=0,"Falta precio","✓ OK")))))))))))</f>
        <v/>
      </c>
      <c r="M941" t="str">
        <f>IF(N941&lt;&gt;"W","",IF(TRIM(C941)&lt;&gt;"",TRIM(C941),IFERROR(LOOKUP(2,1/(N$9:N941="T"),D$9:D941),"")))</f>
        <v/>
      </c>
      <c r="N941" t="str">
        <f t="shared" si="44"/>
        <v/>
      </c>
      <c r="O941" t="str">
        <f>IF(M941="","",IF(COUNTIF(M$9:M941,M941)=1,MAX(O$8:O940)+1,""))</f>
        <v/>
      </c>
    </row>
    <row r="942" spans="1:15" x14ac:dyDescent="0.75">
      <c r="A942" s="24" t="str">
        <f>IF(N942="W",COUNTIF(N$9:N942,"W"),"")</f>
        <v/>
      </c>
      <c r="B942" s="25"/>
      <c r="C942" s="25"/>
      <c r="D942" s="26"/>
      <c r="E942" s="25"/>
      <c r="F942" s="27"/>
      <c r="G942" s="28"/>
      <c r="H942" s="28"/>
      <c r="I942" s="29" t="str">
        <f t="shared" si="42"/>
        <v/>
      </c>
      <c r="J942" s="30" t="str">
        <f t="shared" si="43"/>
        <v/>
      </c>
      <c r="K942" s="26"/>
      <c r="L942" s="24" t="str">
        <f>IF(N942="","",IF(N942="T","Título de capítulo",IF(OR(ISERROR(F942),ISERROR(G942),ISERROR(H942)),"Error en fórmula: pegá como valores",IF(AND(B942="",$C$6=""),"Falta sector",IF(M942="","Falta capítulo",IF(TRIM(E942)="","Falta unidad",IF(NOT((COUNTIF(Listas!$A$2:$A$40,E942)+COUNTIF(Listas!$D$2:$D$60,E942)&gt;0)),"Unidad no reconocida",IF(AND(F942&lt;&gt;"",NOT(ISNUMBER(F942))),"Cantidad no es número",IF(N(F942)&lt;=0,"Falta cantidad",IF(OR(AND(G942&lt;&gt;"",NOT(ISNUMBER(G942))),AND(H942&lt;&gt;"",NOT(ISNUMBER(H942)))),"Precio no es número",IF(N(G942)+N(H942)&lt;=0,"Falta precio","✓ OK")))))))))))</f>
        <v/>
      </c>
      <c r="M942" t="str">
        <f>IF(N942&lt;&gt;"W","",IF(TRIM(C942)&lt;&gt;"",TRIM(C942),IFERROR(LOOKUP(2,1/(N$9:N942="T"),D$9:D942),"")))</f>
        <v/>
      </c>
      <c r="N942" t="str">
        <f t="shared" si="44"/>
        <v/>
      </c>
      <c r="O942" t="str">
        <f>IF(M942="","",IF(COUNTIF(M$9:M942,M942)=1,MAX(O$8:O941)+1,""))</f>
        <v/>
      </c>
    </row>
    <row r="943" spans="1:15" x14ac:dyDescent="0.75">
      <c r="A943" s="24" t="str">
        <f>IF(N943="W",COUNTIF(N$9:N943,"W"),"")</f>
        <v/>
      </c>
      <c r="B943" s="25"/>
      <c r="C943" s="25"/>
      <c r="D943" s="26"/>
      <c r="E943" s="25"/>
      <c r="F943" s="27"/>
      <c r="G943" s="28"/>
      <c r="H943" s="28"/>
      <c r="I943" s="29" t="str">
        <f t="shared" si="42"/>
        <v/>
      </c>
      <c r="J943" s="30" t="str">
        <f t="shared" si="43"/>
        <v/>
      </c>
      <c r="K943" s="26"/>
      <c r="L943" s="24" t="str">
        <f>IF(N943="","",IF(N943="T","Título de capítulo",IF(OR(ISERROR(F943),ISERROR(G943),ISERROR(H943)),"Error en fórmula: pegá como valores",IF(AND(B943="",$C$6=""),"Falta sector",IF(M943="","Falta capítulo",IF(TRIM(E943)="","Falta unidad",IF(NOT((COUNTIF(Listas!$A$2:$A$40,E943)+COUNTIF(Listas!$D$2:$D$60,E943)&gt;0)),"Unidad no reconocida",IF(AND(F943&lt;&gt;"",NOT(ISNUMBER(F943))),"Cantidad no es número",IF(N(F943)&lt;=0,"Falta cantidad",IF(OR(AND(G943&lt;&gt;"",NOT(ISNUMBER(G943))),AND(H943&lt;&gt;"",NOT(ISNUMBER(H943)))),"Precio no es número",IF(N(G943)+N(H943)&lt;=0,"Falta precio","✓ OK")))))))))))</f>
        <v/>
      </c>
      <c r="M943" t="str">
        <f>IF(N943&lt;&gt;"W","",IF(TRIM(C943)&lt;&gt;"",TRIM(C943),IFERROR(LOOKUP(2,1/(N$9:N943="T"),D$9:D943),"")))</f>
        <v/>
      </c>
      <c r="N943" t="str">
        <f t="shared" si="44"/>
        <v/>
      </c>
      <c r="O943" t="str">
        <f>IF(M943="","",IF(COUNTIF(M$9:M943,M943)=1,MAX(O$8:O942)+1,""))</f>
        <v/>
      </c>
    </row>
    <row r="944" spans="1:15" x14ac:dyDescent="0.75">
      <c r="A944" s="24" t="str">
        <f>IF(N944="W",COUNTIF(N$9:N944,"W"),"")</f>
        <v/>
      </c>
      <c r="B944" s="25"/>
      <c r="C944" s="25"/>
      <c r="D944" s="26"/>
      <c r="E944" s="25"/>
      <c r="F944" s="27"/>
      <c r="G944" s="28"/>
      <c r="H944" s="28"/>
      <c r="I944" s="29" t="str">
        <f t="shared" si="42"/>
        <v/>
      </c>
      <c r="J944" s="30" t="str">
        <f t="shared" si="43"/>
        <v/>
      </c>
      <c r="K944" s="26"/>
      <c r="L944" s="24" t="str">
        <f>IF(N944="","",IF(N944="T","Título de capítulo",IF(OR(ISERROR(F944),ISERROR(G944),ISERROR(H944)),"Error en fórmula: pegá como valores",IF(AND(B944="",$C$6=""),"Falta sector",IF(M944="","Falta capítulo",IF(TRIM(E944)="","Falta unidad",IF(NOT((COUNTIF(Listas!$A$2:$A$40,E944)+COUNTIF(Listas!$D$2:$D$60,E944)&gt;0)),"Unidad no reconocida",IF(AND(F944&lt;&gt;"",NOT(ISNUMBER(F944))),"Cantidad no es número",IF(N(F944)&lt;=0,"Falta cantidad",IF(OR(AND(G944&lt;&gt;"",NOT(ISNUMBER(G944))),AND(H944&lt;&gt;"",NOT(ISNUMBER(H944)))),"Precio no es número",IF(N(G944)+N(H944)&lt;=0,"Falta precio","✓ OK")))))))))))</f>
        <v/>
      </c>
      <c r="M944" t="str">
        <f>IF(N944&lt;&gt;"W","",IF(TRIM(C944)&lt;&gt;"",TRIM(C944),IFERROR(LOOKUP(2,1/(N$9:N944="T"),D$9:D944),"")))</f>
        <v/>
      </c>
      <c r="N944" t="str">
        <f t="shared" si="44"/>
        <v/>
      </c>
      <c r="O944" t="str">
        <f>IF(M944="","",IF(COUNTIF(M$9:M944,M944)=1,MAX(O$8:O943)+1,""))</f>
        <v/>
      </c>
    </row>
    <row r="945" spans="1:15" x14ac:dyDescent="0.75">
      <c r="A945" s="24" t="str">
        <f>IF(N945="W",COUNTIF(N$9:N945,"W"),"")</f>
        <v/>
      </c>
      <c r="B945" s="25"/>
      <c r="C945" s="25"/>
      <c r="D945" s="26"/>
      <c r="E945" s="25"/>
      <c r="F945" s="27"/>
      <c r="G945" s="28"/>
      <c r="H945" s="28"/>
      <c r="I945" s="29" t="str">
        <f t="shared" si="42"/>
        <v/>
      </c>
      <c r="J945" s="30" t="str">
        <f t="shared" si="43"/>
        <v/>
      </c>
      <c r="K945" s="26"/>
      <c r="L945" s="24" t="str">
        <f>IF(N945="","",IF(N945="T","Título de capítulo",IF(OR(ISERROR(F945),ISERROR(G945),ISERROR(H945)),"Error en fórmula: pegá como valores",IF(AND(B945="",$C$6=""),"Falta sector",IF(M945="","Falta capítulo",IF(TRIM(E945)="","Falta unidad",IF(NOT((COUNTIF(Listas!$A$2:$A$40,E945)+COUNTIF(Listas!$D$2:$D$60,E945)&gt;0)),"Unidad no reconocida",IF(AND(F945&lt;&gt;"",NOT(ISNUMBER(F945))),"Cantidad no es número",IF(N(F945)&lt;=0,"Falta cantidad",IF(OR(AND(G945&lt;&gt;"",NOT(ISNUMBER(G945))),AND(H945&lt;&gt;"",NOT(ISNUMBER(H945)))),"Precio no es número",IF(N(G945)+N(H945)&lt;=0,"Falta precio","✓ OK")))))))))))</f>
        <v/>
      </c>
      <c r="M945" t="str">
        <f>IF(N945&lt;&gt;"W","",IF(TRIM(C945)&lt;&gt;"",TRIM(C945),IFERROR(LOOKUP(2,1/(N$9:N945="T"),D$9:D945),"")))</f>
        <v/>
      </c>
      <c r="N945" t="str">
        <f t="shared" si="44"/>
        <v/>
      </c>
      <c r="O945" t="str">
        <f>IF(M945="","",IF(COUNTIF(M$9:M945,M945)=1,MAX(O$8:O944)+1,""))</f>
        <v/>
      </c>
    </row>
    <row r="946" spans="1:15" x14ac:dyDescent="0.75">
      <c r="A946" s="24" t="str">
        <f>IF(N946="W",COUNTIF(N$9:N946,"W"),"")</f>
        <v/>
      </c>
      <c r="B946" s="25"/>
      <c r="C946" s="25"/>
      <c r="D946" s="26"/>
      <c r="E946" s="25"/>
      <c r="F946" s="27"/>
      <c r="G946" s="28"/>
      <c r="H946" s="28"/>
      <c r="I946" s="29" t="str">
        <f t="shared" si="42"/>
        <v/>
      </c>
      <c r="J946" s="30" t="str">
        <f t="shared" si="43"/>
        <v/>
      </c>
      <c r="K946" s="26"/>
      <c r="L946" s="24" t="str">
        <f>IF(N946="","",IF(N946="T","Título de capítulo",IF(OR(ISERROR(F946),ISERROR(G946),ISERROR(H946)),"Error en fórmula: pegá como valores",IF(AND(B946="",$C$6=""),"Falta sector",IF(M946="","Falta capítulo",IF(TRIM(E946)="","Falta unidad",IF(NOT((COUNTIF(Listas!$A$2:$A$40,E946)+COUNTIF(Listas!$D$2:$D$60,E946)&gt;0)),"Unidad no reconocida",IF(AND(F946&lt;&gt;"",NOT(ISNUMBER(F946))),"Cantidad no es número",IF(N(F946)&lt;=0,"Falta cantidad",IF(OR(AND(G946&lt;&gt;"",NOT(ISNUMBER(G946))),AND(H946&lt;&gt;"",NOT(ISNUMBER(H946)))),"Precio no es número",IF(N(G946)+N(H946)&lt;=0,"Falta precio","✓ OK")))))))))))</f>
        <v/>
      </c>
      <c r="M946" t="str">
        <f>IF(N946&lt;&gt;"W","",IF(TRIM(C946)&lt;&gt;"",TRIM(C946),IFERROR(LOOKUP(2,1/(N$9:N946="T"),D$9:D946),"")))</f>
        <v/>
      </c>
      <c r="N946" t="str">
        <f t="shared" si="44"/>
        <v/>
      </c>
      <c r="O946" t="str">
        <f>IF(M946="","",IF(COUNTIF(M$9:M946,M946)=1,MAX(O$8:O945)+1,""))</f>
        <v/>
      </c>
    </row>
    <row r="947" spans="1:15" x14ac:dyDescent="0.75">
      <c r="A947" s="24" t="str">
        <f>IF(N947="W",COUNTIF(N$9:N947,"W"),"")</f>
        <v/>
      </c>
      <c r="B947" s="25"/>
      <c r="C947" s="25"/>
      <c r="D947" s="26"/>
      <c r="E947" s="25"/>
      <c r="F947" s="27"/>
      <c r="G947" s="28"/>
      <c r="H947" s="28"/>
      <c r="I947" s="29" t="str">
        <f t="shared" si="42"/>
        <v/>
      </c>
      <c r="J947" s="30" t="str">
        <f t="shared" si="43"/>
        <v/>
      </c>
      <c r="K947" s="26"/>
      <c r="L947" s="24" t="str">
        <f>IF(N947="","",IF(N947="T","Título de capítulo",IF(OR(ISERROR(F947),ISERROR(G947),ISERROR(H947)),"Error en fórmula: pegá como valores",IF(AND(B947="",$C$6=""),"Falta sector",IF(M947="","Falta capítulo",IF(TRIM(E947)="","Falta unidad",IF(NOT((COUNTIF(Listas!$A$2:$A$40,E947)+COUNTIF(Listas!$D$2:$D$60,E947)&gt;0)),"Unidad no reconocida",IF(AND(F947&lt;&gt;"",NOT(ISNUMBER(F947))),"Cantidad no es número",IF(N(F947)&lt;=0,"Falta cantidad",IF(OR(AND(G947&lt;&gt;"",NOT(ISNUMBER(G947))),AND(H947&lt;&gt;"",NOT(ISNUMBER(H947)))),"Precio no es número",IF(N(G947)+N(H947)&lt;=0,"Falta precio","✓ OK")))))))))))</f>
        <v/>
      </c>
      <c r="M947" t="str">
        <f>IF(N947&lt;&gt;"W","",IF(TRIM(C947)&lt;&gt;"",TRIM(C947),IFERROR(LOOKUP(2,1/(N$9:N947="T"),D$9:D947),"")))</f>
        <v/>
      </c>
      <c r="N947" t="str">
        <f t="shared" si="44"/>
        <v/>
      </c>
      <c r="O947" t="str">
        <f>IF(M947="","",IF(COUNTIF(M$9:M947,M947)=1,MAX(O$8:O946)+1,""))</f>
        <v/>
      </c>
    </row>
    <row r="948" spans="1:15" x14ac:dyDescent="0.75">
      <c r="A948" s="24" t="str">
        <f>IF(N948="W",COUNTIF(N$9:N948,"W"),"")</f>
        <v/>
      </c>
      <c r="B948" s="25"/>
      <c r="C948" s="25"/>
      <c r="D948" s="26"/>
      <c r="E948" s="25"/>
      <c r="F948" s="27"/>
      <c r="G948" s="28"/>
      <c r="H948" s="28"/>
      <c r="I948" s="29" t="str">
        <f t="shared" si="42"/>
        <v/>
      </c>
      <c r="J948" s="30" t="str">
        <f t="shared" si="43"/>
        <v/>
      </c>
      <c r="K948" s="26"/>
      <c r="L948" s="24" t="str">
        <f>IF(N948="","",IF(N948="T","Título de capítulo",IF(OR(ISERROR(F948),ISERROR(G948),ISERROR(H948)),"Error en fórmula: pegá como valores",IF(AND(B948="",$C$6=""),"Falta sector",IF(M948="","Falta capítulo",IF(TRIM(E948)="","Falta unidad",IF(NOT((COUNTIF(Listas!$A$2:$A$40,E948)+COUNTIF(Listas!$D$2:$D$60,E948)&gt;0)),"Unidad no reconocida",IF(AND(F948&lt;&gt;"",NOT(ISNUMBER(F948))),"Cantidad no es número",IF(N(F948)&lt;=0,"Falta cantidad",IF(OR(AND(G948&lt;&gt;"",NOT(ISNUMBER(G948))),AND(H948&lt;&gt;"",NOT(ISNUMBER(H948)))),"Precio no es número",IF(N(G948)+N(H948)&lt;=0,"Falta precio","✓ OK")))))))))))</f>
        <v/>
      </c>
      <c r="M948" t="str">
        <f>IF(N948&lt;&gt;"W","",IF(TRIM(C948)&lt;&gt;"",TRIM(C948),IFERROR(LOOKUP(2,1/(N$9:N948="T"),D$9:D948),"")))</f>
        <v/>
      </c>
      <c r="N948" t="str">
        <f t="shared" si="44"/>
        <v/>
      </c>
      <c r="O948" t="str">
        <f>IF(M948="","",IF(COUNTIF(M$9:M948,M948)=1,MAX(O$8:O947)+1,""))</f>
        <v/>
      </c>
    </row>
    <row r="949" spans="1:15" x14ac:dyDescent="0.75">
      <c r="A949" s="24" t="str">
        <f>IF(N949="W",COUNTIF(N$9:N949,"W"),"")</f>
        <v/>
      </c>
      <c r="B949" s="25"/>
      <c r="C949" s="25"/>
      <c r="D949" s="26"/>
      <c r="E949" s="25"/>
      <c r="F949" s="27"/>
      <c r="G949" s="28"/>
      <c r="H949" s="28"/>
      <c r="I949" s="29" t="str">
        <f t="shared" si="42"/>
        <v/>
      </c>
      <c r="J949" s="30" t="str">
        <f t="shared" si="43"/>
        <v/>
      </c>
      <c r="K949" s="26"/>
      <c r="L949" s="24" t="str">
        <f>IF(N949="","",IF(N949="T","Título de capítulo",IF(OR(ISERROR(F949),ISERROR(G949),ISERROR(H949)),"Error en fórmula: pegá como valores",IF(AND(B949="",$C$6=""),"Falta sector",IF(M949="","Falta capítulo",IF(TRIM(E949)="","Falta unidad",IF(NOT((COUNTIF(Listas!$A$2:$A$40,E949)+COUNTIF(Listas!$D$2:$D$60,E949)&gt;0)),"Unidad no reconocida",IF(AND(F949&lt;&gt;"",NOT(ISNUMBER(F949))),"Cantidad no es número",IF(N(F949)&lt;=0,"Falta cantidad",IF(OR(AND(G949&lt;&gt;"",NOT(ISNUMBER(G949))),AND(H949&lt;&gt;"",NOT(ISNUMBER(H949)))),"Precio no es número",IF(N(G949)+N(H949)&lt;=0,"Falta precio","✓ OK")))))))))))</f>
        <v/>
      </c>
      <c r="M949" t="str">
        <f>IF(N949&lt;&gt;"W","",IF(TRIM(C949)&lt;&gt;"",TRIM(C949),IFERROR(LOOKUP(2,1/(N$9:N949="T"),D$9:D949),"")))</f>
        <v/>
      </c>
      <c r="N949" t="str">
        <f t="shared" si="44"/>
        <v/>
      </c>
      <c r="O949" t="str">
        <f>IF(M949="","",IF(COUNTIF(M$9:M949,M949)=1,MAX(O$8:O948)+1,""))</f>
        <v/>
      </c>
    </row>
    <row r="950" spans="1:15" x14ac:dyDescent="0.75">
      <c r="A950" s="24" t="str">
        <f>IF(N950="W",COUNTIF(N$9:N950,"W"),"")</f>
        <v/>
      </c>
      <c r="B950" s="25"/>
      <c r="C950" s="25"/>
      <c r="D950" s="26"/>
      <c r="E950" s="25"/>
      <c r="F950" s="27"/>
      <c r="G950" s="28"/>
      <c r="H950" s="28"/>
      <c r="I950" s="29" t="str">
        <f t="shared" si="42"/>
        <v/>
      </c>
      <c r="J950" s="30" t="str">
        <f t="shared" si="43"/>
        <v/>
      </c>
      <c r="K950" s="26"/>
      <c r="L950" s="24" t="str">
        <f>IF(N950="","",IF(N950="T","Título de capítulo",IF(OR(ISERROR(F950),ISERROR(G950),ISERROR(H950)),"Error en fórmula: pegá como valores",IF(AND(B950="",$C$6=""),"Falta sector",IF(M950="","Falta capítulo",IF(TRIM(E950)="","Falta unidad",IF(NOT((COUNTIF(Listas!$A$2:$A$40,E950)+COUNTIF(Listas!$D$2:$D$60,E950)&gt;0)),"Unidad no reconocida",IF(AND(F950&lt;&gt;"",NOT(ISNUMBER(F950))),"Cantidad no es número",IF(N(F950)&lt;=0,"Falta cantidad",IF(OR(AND(G950&lt;&gt;"",NOT(ISNUMBER(G950))),AND(H950&lt;&gt;"",NOT(ISNUMBER(H950)))),"Precio no es número",IF(N(G950)+N(H950)&lt;=0,"Falta precio","✓ OK")))))))))))</f>
        <v/>
      </c>
      <c r="M950" t="str">
        <f>IF(N950&lt;&gt;"W","",IF(TRIM(C950)&lt;&gt;"",TRIM(C950),IFERROR(LOOKUP(2,1/(N$9:N950="T"),D$9:D950),"")))</f>
        <v/>
      </c>
      <c r="N950" t="str">
        <f t="shared" si="44"/>
        <v/>
      </c>
      <c r="O950" t="str">
        <f>IF(M950="","",IF(COUNTIF(M$9:M950,M950)=1,MAX(O$8:O949)+1,""))</f>
        <v/>
      </c>
    </row>
    <row r="951" spans="1:15" x14ac:dyDescent="0.75">
      <c r="A951" s="24" t="str">
        <f>IF(N951="W",COUNTIF(N$9:N951,"W"),"")</f>
        <v/>
      </c>
      <c r="B951" s="25"/>
      <c r="C951" s="25"/>
      <c r="D951" s="26"/>
      <c r="E951" s="25"/>
      <c r="F951" s="27"/>
      <c r="G951" s="28"/>
      <c r="H951" s="28"/>
      <c r="I951" s="29" t="str">
        <f t="shared" si="42"/>
        <v/>
      </c>
      <c r="J951" s="30" t="str">
        <f t="shared" si="43"/>
        <v/>
      </c>
      <c r="K951" s="26"/>
      <c r="L951" s="24" t="str">
        <f>IF(N951="","",IF(N951="T","Título de capítulo",IF(OR(ISERROR(F951),ISERROR(G951),ISERROR(H951)),"Error en fórmula: pegá como valores",IF(AND(B951="",$C$6=""),"Falta sector",IF(M951="","Falta capítulo",IF(TRIM(E951)="","Falta unidad",IF(NOT((COUNTIF(Listas!$A$2:$A$40,E951)+COUNTIF(Listas!$D$2:$D$60,E951)&gt;0)),"Unidad no reconocida",IF(AND(F951&lt;&gt;"",NOT(ISNUMBER(F951))),"Cantidad no es número",IF(N(F951)&lt;=0,"Falta cantidad",IF(OR(AND(G951&lt;&gt;"",NOT(ISNUMBER(G951))),AND(H951&lt;&gt;"",NOT(ISNUMBER(H951)))),"Precio no es número",IF(N(G951)+N(H951)&lt;=0,"Falta precio","✓ OK")))))))))))</f>
        <v/>
      </c>
      <c r="M951" t="str">
        <f>IF(N951&lt;&gt;"W","",IF(TRIM(C951)&lt;&gt;"",TRIM(C951),IFERROR(LOOKUP(2,1/(N$9:N951="T"),D$9:D951),"")))</f>
        <v/>
      </c>
      <c r="N951" t="str">
        <f t="shared" si="44"/>
        <v/>
      </c>
      <c r="O951" t="str">
        <f>IF(M951="","",IF(COUNTIF(M$9:M951,M951)=1,MAX(O$8:O950)+1,""))</f>
        <v/>
      </c>
    </row>
    <row r="952" spans="1:15" x14ac:dyDescent="0.75">
      <c r="A952" s="24" t="str">
        <f>IF(N952="W",COUNTIF(N$9:N952,"W"),"")</f>
        <v/>
      </c>
      <c r="B952" s="25"/>
      <c r="C952" s="25"/>
      <c r="D952" s="26"/>
      <c r="E952" s="25"/>
      <c r="F952" s="27"/>
      <c r="G952" s="28"/>
      <c r="H952" s="28"/>
      <c r="I952" s="29" t="str">
        <f t="shared" si="42"/>
        <v/>
      </c>
      <c r="J952" s="30" t="str">
        <f t="shared" si="43"/>
        <v/>
      </c>
      <c r="K952" s="26"/>
      <c r="L952" s="24" t="str">
        <f>IF(N952="","",IF(N952="T","Título de capítulo",IF(OR(ISERROR(F952),ISERROR(G952),ISERROR(H952)),"Error en fórmula: pegá como valores",IF(AND(B952="",$C$6=""),"Falta sector",IF(M952="","Falta capítulo",IF(TRIM(E952)="","Falta unidad",IF(NOT((COUNTIF(Listas!$A$2:$A$40,E952)+COUNTIF(Listas!$D$2:$D$60,E952)&gt;0)),"Unidad no reconocida",IF(AND(F952&lt;&gt;"",NOT(ISNUMBER(F952))),"Cantidad no es número",IF(N(F952)&lt;=0,"Falta cantidad",IF(OR(AND(G952&lt;&gt;"",NOT(ISNUMBER(G952))),AND(H952&lt;&gt;"",NOT(ISNUMBER(H952)))),"Precio no es número",IF(N(G952)+N(H952)&lt;=0,"Falta precio","✓ OK")))))))))))</f>
        <v/>
      </c>
      <c r="M952" t="str">
        <f>IF(N952&lt;&gt;"W","",IF(TRIM(C952)&lt;&gt;"",TRIM(C952),IFERROR(LOOKUP(2,1/(N$9:N952="T"),D$9:D952),"")))</f>
        <v/>
      </c>
      <c r="N952" t="str">
        <f t="shared" si="44"/>
        <v/>
      </c>
      <c r="O952" t="str">
        <f>IF(M952="","",IF(COUNTIF(M$9:M952,M952)=1,MAX(O$8:O951)+1,""))</f>
        <v/>
      </c>
    </row>
    <row r="953" spans="1:15" x14ac:dyDescent="0.75">
      <c r="A953" s="24" t="str">
        <f>IF(N953="W",COUNTIF(N$9:N953,"W"),"")</f>
        <v/>
      </c>
      <c r="B953" s="25"/>
      <c r="C953" s="25"/>
      <c r="D953" s="26"/>
      <c r="E953" s="25"/>
      <c r="F953" s="27"/>
      <c r="G953" s="28"/>
      <c r="H953" s="28"/>
      <c r="I953" s="29" t="str">
        <f t="shared" si="42"/>
        <v/>
      </c>
      <c r="J953" s="30" t="str">
        <f t="shared" si="43"/>
        <v/>
      </c>
      <c r="K953" s="26"/>
      <c r="L953" s="24" t="str">
        <f>IF(N953="","",IF(N953="T","Título de capítulo",IF(OR(ISERROR(F953),ISERROR(G953),ISERROR(H953)),"Error en fórmula: pegá como valores",IF(AND(B953="",$C$6=""),"Falta sector",IF(M953="","Falta capítulo",IF(TRIM(E953)="","Falta unidad",IF(NOT((COUNTIF(Listas!$A$2:$A$40,E953)+COUNTIF(Listas!$D$2:$D$60,E953)&gt;0)),"Unidad no reconocida",IF(AND(F953&lt;&gt;"",NOT(ISNUMBER(F953))),"Cantidad no es número",IF(N(F953)&lt;=0,"Falta cantidad",IF(OR(AND(G953&lt;&gt;"",NOT(ISNUMBER(G953))),AND(H953&lt;&gt;"",NOT(ISNUMBER(H953)))),"Precio no es número",IF(N(G953)+N(H953)&lt;=0,"Falta precio","✓ OK")))))))))))</f>
        <v/>
      </c>
      <c r="M953" t="str">
        <f>IF(N953&lt;&gt;"W","",IF(TRIM(C953)&lt;&gt;"",TRIM(C953),IFERROR(LOOKUP(2,1/(N$9:N953="T"),D$9:D953),"")))</f>
        <v/>
      </c>
      <c r="N953" t="str">
        <f t="shared" si="44"/>
        <v/>
      </c>
      <c r="O953" t="str">
        <f>IF(M953="","",IF(COUNTIF(M$9:M953,M953)=1,MAX(O$8:O952)+1,""))</f>
        <v/>
      </c>
    </row>
    <row r="954" spans="1:15" x14ac:dyDescent="0.75">
      <c r="A954" s="24" t="str">
        <f>IF(N954="W",COUNTIF(N$9:N954,"W"),"")</f>
        <v/>
      </c>
      <c r="B954" s="25"/>
      <c r="C954" s="25"/>
      <c r="D954" s="26"/>
      <c r="E954" s="25"/>
      <c r="F954" s="27"/>
      <c r="G954" s="28"/>
      <c r="H954" s="28"/>
      <c r="I954" s="29" t="str">
        <f t="shared" si="42"/>
        <v/>
      </c>
      <c r="J954" s="30" t="str">
        <f t="shared" si="43"/>
        <v/>
      </c>
      <c r="K954" s="26"/>
      <c r="L954" s="24" t="str">
        <f>IF(N954="","",IF(N954="T","Título de capítulo",IF(OR(ISERROR(F954),ISERROR(G954),ISERROR(H954)),"Error en fórmula: pegá como valores",IF(AND(B954="",$C$6=""),"Falta sector",IF(M954="","Falta capítulo",IF(TRIM(E954)="","Falta unidad",IF(NOT((COUNTIF(Listas!$A$2:$A$40,E954)+COUNTIF(Listas!$D$2:$D$60,E954)&gt;0)),"Unidad no reconocida",IF(AND(F954&lt;&gt;"",NOT(ISNUMBER(F954))),"Cantidad no es número",IF(N(F954)&lt;=0,"Falta cantidad",IF(OR(AND(G954&lt;&gt;"",NOT(ISNUMBER(G954))),AND(H954&lt;&gt;"",NOT(ISNUMBER(H954)))),"Precio no es número",IF(N(G954)+N(H954)&lt;=0,"Falta precio","✓ OK")))))))))))</f>
        <v/>
      </c>
      <c r="M954" t="str">
        <f>IF(N954&lt;&gt;"W","",IF(TRIM(C954)&lt;&gt;"",TRIM(C954),IFERROR(LOOKUP(2,1/(N$9:N954="T"),D$9:D954),"")))</f>
        <v/>
      </c>
      <c r="N954" t="str">
        <f t="shared" si="44"/>
        <v/>
      </c>
      <c r="O954" t="str">
        <f>IF(M954="","",IF(COUNTIF(M$9:M954,M954)=1,MAX(O$8:O953)+1,""))</f>
        <v/>
      </c>
    </row>
    <row r="955" spans="1:15" x14ac:dyDescent="0.75">
      <c r="A955" s="24" t="str">
        <f>IF(N955="W",COUNTIF(N$9:N955,"W"),"")</f>
        <v/>
      </c>
      <c r="B955" s="25"/>
      <c r="C955" s="25"/>
      <c r="D955" s="26"/>
      <c r="E955" s="25"/>
      <c r="F955" s="27"/>
      <c r="G955" s="28"/>
      <c r="H955" s="28"/>
      <c r="I955" s="29" t="str">
        <f t="shared" si="42"/>
        <v/>
      </c>
      <c r="J955" s="30" t="str">
        <f t="shared" si="43"/>
        <v/>
      </c>
      <c r="K955" s="26"/>
      <c r="L955" s="24" t="str">
        <f>IF(N955="","",IF(N955="T","Título de capítulo",IF(OR(ISERROR(F955),ISERROR(G955),ISERROR(H955)),"Error en fórmula: pegá como valores",IF(AND(B955="",$C$6=""),"Falta sector",IF(M955="","Falta capítulo",IF(TRIM(E955)="","Falta unidad",IF(NOT((COUNTIF(Listas!$A$2:$A$40,E955)+COUNTIF(Listas!$D$2:$D$60,E955)&gt;0)),"Unidad no reconocida",IF(AND(F955&lt;&gt;"",NOT(ISNUMBER(F955))),"Cantidad no es número",IF(N(F955)&lt;=0,"Falta cantidad",IF(OR(AND(G955&lt;&gt;"",NOT(ISNUMBER(G955))),AND(H955&lt;&gt;"",NOT(ISNUMBER(H955)))),"Precio no es número",IF(N(G955)+N(H955)&lt;=0,"Falta precio","✓ OK")))))))))))</f>
        <v/>
      </c>
      <c r="M955" t="str">
        <f>IF(N955&lt;&gt;"W","",IF(TRIM(C955)&lt;&gt;"",TRIM(C955),IFERROR(LOOKUP(2,1/(N$9:N955="T"),D$9:D955),"")))</f>
        <v/>
      </c>
      <c r="N955" t="str">
        <f t="shared" si="44"/>
        <v/>
      </c>
      <c r="O955" t="str">
        <f>IF(M955="","",IF(COUNTIF(M$9:M955,M955)=1,MAX(O$8:O954)+1,""))</f>
        <v/>
      </c>
    </row>
    <row r="956" spans="1:15" x14ac:dyDescent="0.75">
      <c r="A956" s="24" t="str">
        <f>IF(N956="W",COUNTIF(N$9:N956,"W"),"")</f>
        <v/>
      </c>
      <c r="B956" s="25"/>
      <c r="C956" s="25"/>
      <c r="D956" s="26"/>
      <c r="E956" s="25"/>
      <c r="F956" s="27"/>
      <c r="G956" s="28"/>
      <c r="H956" s="28"/>
      <c r="I956" s="29" t="str">
        <f t="shared" si="42"/>
        <v/>
      </c>
      <c r="J956" s="30" t="str">
        <f t="shared" si="43"/>
        <v/>
      </c>
      <c r="K956" s="26"/>
      <c r="L956" s="24" t="str">
        <f>IF(N956="","",IF(N956="T","Título de capítulo",IF(OR(ISERROR(F956),ISERROR(G956),ISERROR(H956)),"Error en fórmula: pegá como valores",IF(AND(B956="",$C$6=""),"Falta sector",IF(M956="","Falta capítulo",IF(TRIM(E956)="","Falta unidad",IF(NOT((COUNTIF(Listas!$A$2:$A$40,E956)+COUNTIF(Listas!$D$2:$D$60,E956)&gt;0)),"Unidad no reconocida",IF(AND(F956&lt;&gt;"",NOT(ISNUMBER(F956))),"Cantidad no es número",IF(N(F956)&lt;=0,"Falta cantidad",IF(OR(AND(G956&lt;&gt;"",NOT(ISNUMBER(G956))),AND(H956&lt;&gt;"",NOT(ISNUMBER(H956)))),"Precio no es número",IF(N(G956)+N(H956)&lt;=0,"Falta precio","✓ OK")))))))))))</f>
        <v/>
      </c>
      <c r="M956" t="str">
        <f>IF(N956&lt;&gt;"W","",IF(TRIM(C956)&lt;&gt;"",TRIM(C956),IFERROR(LOOKUP(2,1/(N$9:N956="T"),D$9:D956),"")))</f>
        <v/>
      </c>
      <c r="N956" t="str">
        <f t="shared" si="44"/>
        <v/>
      </c>
      <c r="O956" t="str">
        <f>IF(M956="","",IF(COUNTIF(M$9:M956,M956)=1,MAX(O$8:O955)+1,""))</f>
        <v/>
      </c>
    </row>
    <row r="957" spans="1:15" x14ac:dyDescent="0.75">
      <c r="A957" s="24" t="str">
        <f>IF(N957="W",COUNTIF(N$9:N957,"W"),"")</f>
        <v/>
      </c>
      <c r="B957" s="25"/>
      <c r="C957" s="25"/>
      <c r="D957" s="26"/>
      <c r="E957" s="25"/>
      <c r="F957" s="27"/>
      <c r="G957" s="28"/>
      <c r="H957" s="28"/>
      <c r="I957" s="29" t="str">
        <f t="shared" si="42"/>
        <v/>
      </c>
      <c r="J957" s="30" t="str">
        <f t="shared" si="43"/>
        <v/>
      </c>
      <c r="K957" s="26"/>
      <c r="L957" s="24" t="str">
        <f>IF(N957="","",IF(N957="T","Título de capítulo",IF(OR(ISERROR(F957),ISERROR(G957),ISERROR(H957)),"Error en fórmula: pegá como valores",IF(AND(B957="",$C$6=""),"Falta sector",IF(M957="","Falta capítulo",IF(TRIM(E957)="","Falta unidad",IF(NOT((COUNTIF(Listas!$A$2:$A$40,E957)+COUNTIF(Listas!$D$2:$D$60,E957)&gt;0)),"Unidad no reconocida",IF(AND(F957&lt;&gt;"",NOT(ISNUMBER(F957))),"Cantidad no es número",IF(N(F957)&lt;=0,"Falta cantidad",IF(OR(AND(G957&lt;&gt;"",NOT(ISNUMBER(G957))),AND(H957&lt;&gt;"",NOT(ISNUMBER(H957)))),"Precio no es número",IF(N(G957)+N(H957)&lt;=0,"Falta precio","✓ OK")))))))))))</f>
        <v/>
      </c>
      <c r="M957" t="str">
        <f>IF(N957&lt;&gt;"W","",IF(TRIM(C957)&lt;&gt;"",TRIM(C957),IFERROR(LOOKUP(2,1/(N$9:N957="T"),D$9:D957),"")))</f>
        <v/>
      </c>
      <c r="N957" t="str">
        <f t="shared" si="44"/>
        <v/>
      </c>
      <c r="O957" t="str">
        <f>IF(M957="","",IF(COUNTIF(M$9:M957,M957)=1,MAX(O$8:O956)+1,""))</f>
        <v/>
      </c>
    </row>
    <row r="958" spans="1:15" x14ac:dyDescent="0.75">
      <c r="A958" s="24" t="str">
        <f>IF(N958="W",COUNTIF(N$9:N958,"W"),"")</f>
        <v/>
      </c>
      <c r="B958" s="25"/>
      <c r="C958" s="25"/>
      <c r="D958" s="26"/>
      <c r="E958" s="25"/>
      <c r="F958" s="27"/>
      <c r="G958" s="28"/>
      <c r="H958" s="28"/>
      <c r="I958" s="29" t="str">
        <f t="shared" si="42"/>
        <v/>
      </c>
      <c r="J958" s="30" t="str">
        <f t="shared" si="43"/>
        <v/>
      </c>
      <c r="K958" s="26"/>
      <c r="L958" s="24" t="str">
        <f>IF(N958="","",IF(N958="T","Título de capítulo",IF(OR(ISERROR(F958),ISERROR(G958),ISERROR(H958)),"Error en fórmula: pegá como valores",IF(AND(B958="",$C$6=""),"Falta sector",IF(M958="","Falta capítulo",IF(TRIM(E958)="","Falta unidad",IF(NOT((COUNTIF(Listas!$A$2:$A$40,E958)+COUNTIF(Listas!$D$2:$D$60,E958)&gt;0)),"Unidad no reconocida",IF(AND(F958&lt;&gt;"",NOT(ISNUMBER(F958))),"Cantidad no es número",IF(N(F958)&lt;=0,"Falta cantidad",IF(OR(AND(G958&lt;&gt;"",NOT(ISNUMBER(G958))),AND(H958&lt;&gt;"",NOT(ISNUMBER(H958)))),"Precio no es número",IF(N(G958)+N(H958)&lt;=0,"Falta precio","✓ OK")))))))))))</f>
        <v/>
      </c>
      <c r="M958" t="str">
        <f>IF(N958&lt;&gt;"W","",IF(TRIM(C958)&lt;&gt;"",TRIM(C958),IFERROR(LOOKUP(2,1/(N$9:N958="T"),D$9:D958),"")))</f>
        <v/>
      </c>
      <c r="N958" t="str">
        <f t="shared" si="44"/>
        <v/>
      </c>
      <c r="O958" t="str">
        <f>IF(M958="","",IF(COUNTIF(M$9:M958,M958)=1,MAX(O$8:O957)+1,""))</f>
        <v/>
      </c>
    </row>
    <row r="959" spans="1:15" x14ac:dyDescent="0.75">
      <c r="A959" s="24" t="str">
        <f>IF(N959="W",COUNTIF(N$9:N959,"W"),"")</f>
        <v/>
      </c>
      <c r="B959" s="25"/>
      <c r="C959" s="25"/>
      <c r="D959" s="26"/>
      <c r="E959" s="25"/>
      <c r="F959" s="27"/>
      <c r="G959" s="28"/>
      <c r="H959" s="28"/>
      <c r="I959" s="29" t="str">
        <f t="shared" si="42"/>
        <v/>
      </c>
      <c r="J959" s="30" t="str">
        <f t="shared" si="43"/>
        <v/>
      </c>
      <c r="K959" s="26"/>
      <c r="L959" s="24" t="str">
        <f>IF(N959="","",IF(N959="T","Título de capítulo",IF(OR(ISERROR(F959),ISERROR(G959),ISERROR(H959)),"Error en fórmula: pegá como valores",IF(AND(B959="",$C$6=""),"Falta sector",IF(M959="","Falta capítulo",IF(TRIM(E959)="","Falta unidad",IF(NOT((COUNTIF(Listas!$A$2:$A$40,E959)+COUNTIF(Listas!$D$2:$D$60,E959)&gt;0)),"Unidad no reconocida",IF(AND(F959&lt;&gt;"",NOT(ISNUMBER(F959))),"Cantidad no es número",IF(N(F959)&lt;=0,"Falta cantidad",IF(OR(AND(G959&lt;&gt;"",NOT(ISNUMBER(G959))),AND(H959&lt;&gt;"",NOT(ISNUMBER(H959)))),"Precio no es número",IF(N(G959)+N(H959)&lt;=0,"Falta precio","✓ OK")))))))))))</f>
        <v/>
      </c>
      <c r="M959" t="str">
        <f>IF(N959&lt;&gt;"W","",IF(TRIM(C959)&lt;&gt;"",TRIM(C959),IFERROR(LOOKUP(2,1/(N$9:N959="T"),D$9:D959),"")))</f>
        <v/>
      </c>
      <c r="N959" t="str">
        <f t="shared" si="44"/>
        <v/>
      </c>
      <c r="O959" t="str">
        <f>IF(M959="","",IF(COUNTIF(M$9:M959,M959)=1,MAX(O$8:O958)+1,""))</f>
        <v/>
      </c>
    </row>
    <row r="960" spans="1:15" x14ac:dyDescent="0.75">
      <c r="A960" s="24" t="str">
        <f>IF(N960="W",COUNTIF(N$9:N960,"W"),"")</f>
        <v/>
      </c>
      <c r="B960" s="25"/>
      <c r="C960" s="25"/>
      <c r="D960" s="26"/>
      <c r="E960" s="25"/>
      <c r="F960" s="27"/>
      <c r="G960" s="28"/>
      <c r="H960" s="28"/>
      <c r="I960" s="29" t="str">
        <f t="shared" si="42"/>
        <v/>
      </c>
      <c r="J960" s="30" t="str">
        <f t="shared" si="43"/>
        <v/>
      </c>
      <c r="K960" s="26"/>
      <c r="L960" s="24" t="str">
        <f>IF(N960="","",IF(N960="T","Título de capítulo",IF(OR(ISERROR(F960),ISERROR(G960),ISERROR(H960)),"Error en fórmula: pegá como valores",IF(AND(B960="",$C$6=""),"Falta sector",IF(M960="","Falta capítulo",IF(TRIM(E960)="","Falta unidad",IF(NOT((COUNTIF(Listas!$A$2:$A$40,E960)+COUNTIF(Listas!$D$2:$D$60,E960)&gt;0)),"Unidad no reconocida",IF(AND(F960&lt;&gt;"",NOT(ISNUMBER(F960))),"Cantidad no es número",IF(N(F960)&lt;=0,"Falta cantidad",IF(OR(AND(G960&lt;&gt;"",NOT(ISNUMBER(G960))),AND(H960&lt;&gt;"",NOT(ISNUMBER(H960)))),"Precio no es número",IF(N(G960)+N(H960)&lt;=0,"Falta precio","✓ OK")))))))))))</f>
        <v/>
      </c>
      <c r="M960" t="str">
        <f>IF(N960&lt;&gt;"W","",IF(TRIM(C960)&lt;&gt;"",TRIM(C960),IFERROR(LOOKUP(2,1/(N$9:N960="T"),D$9:D960),"")))</f>
        <v/>
      </c>
      <c r="N960" t="str">
        <f t="shared" si="44"/>
        <v/>
      </c>
      <c r="O960" t="str">
        <f>IF(M960="","",IF(COUNTIF(M$9:M960,M960)=1,MAX(O$8:O959)+1,""))</f>
        <v/>
      </c>
    </row>
    <row r="961" spans="1:15" x14ac:dyDescent="0.75">
      <c r="A961" s="24" t="str">
        <f>IF(N961="W",COUNTIF(N$9:N961,"W"),"")</f>
        <v/>
      </c>
      <c r="B961" s="25"/>
      <c r="C961" s="25"/>
      <c r="D961" s="26"/>
      <c r="E961" s="25"/>
      <c r="F961" s="27"/>
      <c r="G961" s="28"/>
      <c r="H961" s="28"/>
      <c r="I961" s="29" t="str">
        <f t="shared" si="42"/>
        <v/>
      </c>
      <c r="J961" s="30" t="str">
        <f t="shared" si="43"/>
        <v/>
      </c>
      <c r="K961" s="26"/>
      <c r="L961" s="24" t="str">
        <f>IF(N961="","",IF(N961="T","Título de capítulo",IF(OR(ISERROR(F961),ISERROR(G961),ISERROR(H961)),"Error en fórmula: pegá como valores",IF(AND(B961="",$C$6=""),"Falta sector",IF(M961="","Falta capítulo",IF(TRIM(E961)="","Falta unidad",IF(NOT((COUNTIF(Listas!$A$2:$A$40,E961)+COUNTIF(Listas!$D$2:$D$60,E961)&gt;0)),"Unidad no reconocida",IF(AND(F961&lt;&gt;"",NOT(ISNUMBER(F961))),"Cantidad no es número",IF(N(F961)&lt;=0,"Falta cantidad",IF(OR(AND(G961&lt;&gt;"",NOT(ISNUMBER(G961))),AND(H961&lt;&gt;"",NOT(ISNUMBER(H961)))),"Precio no es número",IF(N(G961)+N(H961)&lt;=0,"Falta precio","✓ OK")))))))))))</f>
        <v/>
      </c>
      <c r="M961" t="str">
        <f>IF(N961&lt;&gt;"W","",IF(TRIM(C961)&lt;&gt;"",TRIM(C961),IFERROR(LOOKUP(2,1/(N$9:N961="T"),D$9:D961),"")))</f>
        <v/>
      </c>
      <c r="N961" t="str">
        <f t="shared" si="44"/>
        <v/>
      </c>
      <c r="O961" t="str">
        <f>IF(M961="","",IF(COUNTIF(M$9:M961,M961)=1,MAX(O$8:O960)+1,""))</f>
        <v/>
      </c>
    </row>
    <row r="962" spans="1:15" x14ac:dyDescent="0.75">
      <c r="A962" s="24" t="str">
        <f>IF(N962="W",COUNTIF(N$9:N962,"W"),"")</f>
        <v/>
      </c>
      <c r="B962" s="25"/>
      <c r="C962" s="25"/>
      <c r="D962" s="26"/>
      <c r="E962" s="25"/>
      <c r="F962" s="27"/>
      <c r="G962" s="28"/>
      <c r="H962" s="28"/>
      <c r="I962" s="29" t="str">
        <f t="shared" si="42"/>
        <v/>
      </c>
      <c r="J962" s="30" t="str">
        <f t="shared" si="43"/>
        <v/>
      </c>
      <c r="K962" s="26"/>
      <c r="L962" s="24" t="str">
        <f>IF(N962="","",IF(N962="T","Título de capítulo",IF(OR(ISERROR(F962),ISERROR(G962),ISERROR(H962)),"Error en fórmula: pegá como valores",IF(AND(B962="",$C$6=""),"Falta sector",IF(M962="","Falta capítulo",IF(TRIM(E962)="","Falta unidad",IF(NOT((COUNTIF(Listas!$A$2:$A$40,E962)+COUNTIF(Listas!$D$2:$D$60,E962)&gt;0)),"Unidad no reconocida",IF(AND(F962&lt;&gt;"",NOT(ISNUMBER(F962))),"Cantidad no es número",IF(N(F962)&lt;=0,"Falta cantidad",IF(OR(AND(G962&lt;&gt;"",NOT(ISNUMBER(G962))),AND(H962&lt;&gt;"",NOT(ISNUMBER(H962)))),"Precio no es número",IF(N(G962)+N(H962)&lt;=0,"Falta precio","✓ OK")))))))))))</f>
        <v/>
      </c>
      <c r="M962" t="str">
        <f>IF(N962&lt;&gt;"W","",IF(TRIM(C962)&lt;&gt;"",TRIM(C962),IFERROR(LOOKUP(2,1/(N$9:N962="T"),D$9:D962),"")))</f>
        <v/>
      </c>
      <c r="N962" t="str">
        <f t="shared" si="44"/>
        <v/>
      </c>
      <c r="O962" t="str">
        <f>IF(M962="","",IF(COUNTIF(M$9:M962,M962)=1,MAX(O$8:O961)+1,""))</f>
        <v/>
      </c>
    </row>
    <row r="963" spans="1:15" x14ac:dyDescent="0.75">
      <c r="A963" s="24" t="str">
        <f>IF(N963="W",COUNTIF(N$9:N963,"W"),"")</f>
        <v/>
      </c>
      <c r="B963" s="25"/>
      <c r="C963" s="25"/>
      <c r="D963" s="26"/>
      <c r="E963" s="25"/>
      <c r="F963" s="27"/>
      <c r="G963" s="28"/>
      <c r="H963" s="28"/>
      <c r="I963" s="29" t="str">
        <f t="shared" si="42"/>
        <v/>
      </c>
      <c r="J963" s="30" t="str">
        <f t="shared" si="43"/>
        <v/>
      </c>
      <c r="K963" s="26"/>
      <c r="L963" s="24" t="str">
        <f>IF(N963="","",IF(N963="T","Título de capítulo",IF(OR(ISERROR(F963),ISERROR(G963),ISERROR(H963)),"Error en fórmula: pegá como valores",IF(AND(B963="",$C$6=""),"Falta sector",IF(M963="","Falta capítulo",IF(TRIM(E963)="","Falta unidad",IF(NOT((COUNTIF(Listas!$A$2:$A$40,E963)+COUNTIF(Listas!$D$2:$D$60,E963)&gt;0)),"Unidad no reconocida",IF(AND(F963&lt;&gt;"",NOT(ISNUMBER(F963))),"Cantidad no es número",IF(N(F963)&lt;=0,"Falta cantidad",IF(OR(AND(G963&lt;&gt;"",NOT(ISNUMBER(G963))),AND(H963&lt;&gt;"",NOT(ISNUMBER(H963)))),"Precio no es número",IF(N(G963)+N(H963)&lt;=0,"Falta precio","✓ OK")))))))))))</f>
        <v/>
      </c>
      <c r="M963" t="str">
        <f>IF(N963&lt;&gt;"W","",IF(TRIM(C963)&lt;&gt;"",TRIM(C963),IFERROR(LOOKUP(2,1/(N$9:N963="T"),D$9:D963),"")))</f>
        <v/>
      </c>
      <c r="N963" t="str">
        <f t="shared" si="44"/>
        <v/>
      </c>
      <c r="O963" t="str">
        <f>IF(M963="","",IF(COUNTIF(M$9:M963,M963)=1,MAX(O$8:O962)+1,""))</f>
        <v/>
      </c>
    </row>
    <row r="964" spans="1:15" x14ac:dyDescent="0.75">
      <c r="A964" s="24" t="str">
        <f>IF(N964="W",COUNTIF(N$9:N964,"W"),"")</f>
        <v/>
      </c>
      <c r="B964" s="25"/>
      <c r="C964" s="25"/>
      <c r="D964" s="26"/>
      <c r="E964" s="25"/>
      <c r="F964" s="27"/>
      <c r="G964" s="28"/>
      <c r="H964" s="28"/>
      <c r="I964" s="29" t="str">
        <f t="shared" si="42"/>
        <v/>
      </c>
      <c r="J964" s="30" t="str">
        <f t="shared" si="43"/>
        <v/>
      </c>
      <c r="K964" s="26"/>
      <c r="L964" s="24" t="str">
        <f>IF(N964="","",IF(N964="T","Título de capítulo",IF(OR(ISERROR(F964),ISERROR(G964),ISERROR(H964)),"Error en fórmula: pegá como valores",IF(AND(B964="",$C$6=""),"Falta sector",IF(M964="","Falta capítulo",IF(TRIM(E964)="","Falta unidad",IF(NOT((COUNTIF(Listas!$A$2:$A$40,E964)+COUNTIF(Listas!$D$2:$D$60,E964)&gt;0)),"Unidad no reconocida",IF(AND(F964&lt;&gt;"",NOT(ISNUMBER(F964))),"Cantidad no es número",IF(N(F964)&lt;=0,"Falta cantidad",IF(OR(AND(G964&lt;&gt;"",NOT(ISNUMBER(G964))),AND(H964&lt;&gt;"",NOT(ISNUMBER(H964)))),"Precio no es número",IF(N(G964)+N(H964)&lt;=0,"Falta precio","✓ OK")))))))))))</f>
        <v/>
      </c>
      <c r="M964" t="str">
        <f>IF(N964&lt;&gt;"W","",IF(TRIM(C964)&lt;&gt;"",TRIM(C964),IFERROR(LOOKUP(2,1/(N$9:N964="T"),D$9:D964),"")))</f>
        <v/>
      </c>
      <c r="N964" t="str">
        <f t="shared" si="44"/>
        <v/>
      </c>
      <c r="O964" t="str">
        <f>IF(M964="","",IF(COUNTIF(M$9:M964,M964)=1,MAX(O$8:O963)+1,""))</f>
        <v/>
      </c>
    </row>
    <row r="965" spans="1:15" x14ac:dyDescent="0.75">
      <c r="A965" s="24" t="str">
        <f>IF(N965="W",COUNTIF(N$9:N965,"W"),"")</f>
        <v/>
      </c>
      <c r="B965" s="25"/>
      <c r="C965" s="25"/>
      <c r="D965" s="26"/>
      <c r="E965" s="25"/>
      <c r="F965" s="27"/>
      <c r="G965" s="28"/>
      <c r="H965" s="28"/>
      <c r="I965" s="29" t="str">
        <f t="shared" si="42"/>
        <v/>
      </c>
      <c r="J965" s="30" t="str">
        <f t="shared" si="43"/>
        <v/>
      </c>
      <c r="K965" s="26"/>
      <c r="L965" s="24" t="str">
        <f>IF(N965="","",IF(N965="T","Título de capítulo",IF(OR(ISERROR(F965),ISERROR(G965),ISERROR(H965)),"Error en fórmula: pegá como valores",IF(AND(B965="",$C$6=""),"Falta sector",IF(M965="","Falta capítulo",IF(TRIM(E965)="","Falta unidad",IF(NOT((COUNTIF(Listas!$A$2:$A$40,E965)+COUNTIF(Listas!$D$2:$D$60,E965)&gt;0)),"Unidad no reconocida",IF(AND(F965&lt;&gt;"",NOT(ISNUMBER(F965))),"Cantidad no es número",IF(N(F965)&lt;=0,"Falta cantidad",IF(OR(AND(G965&lt;&gt;"",NOT(ISNUMBER(G965))),AND(H965&lt;&gt;"",NOT(ISNUMBER(H965)))),"Precio no es número",IF(N(G965)+N(H965)&lt;=0,"Falta precio","✓ OK")))))))))))</f>
        <v/>
      </c>
      <c r="M965" t="str">
        <f>IF(N965&lt;&gt;"W","",IF(TRIM(C965)&lt;&gt;"",TRIM(C965),IFERROR(LOOKUP(2,1/(N$9:N965="T"),D$9:D965),"")))</f>
        <v/>
      </c>
      <c r="N965" t="str">
        <f t="shared" si="44"/>
        <v/>
      </c>
      <c r="O965" t="str">
        <f>IF(M965="","",IF(COUNTIF(M$9:M965,M965)=1,MAX(O$8:O964)+1,""))</f>
        <v/>
      </c>
    </row>
    <row r="966" spans="1:15" x14ac:dyDescent="0.75">
      <c r="A966" s="24" t="str">
        <f>IF(N966="W",COUNTIF(N$9:N966,"W"),"")</f>
        <v/>
      </c>
      <c r="B966" s="25"/>
      <c r="C966" s="25"/>
      <c r="D966" s="26"/>
      <c r="E966" s="25"/>
      <c r="F966" s="27"/>
      <c r="G966" s="28"/>
      <c r="H966" s="28"/>
      <c r="I966" s="29" t="str">
        <f t="shared" si="42"/>
        <v/>
      </c>
      <c r="J966" s="30" t="str">
        <f t="shared" si="43"/>
        <v/>
      </c>
      <c r="K966" s="26"/>
      <c r="L966" s="24" t="str">
        <f>IF(N966="","",IF(N966="T","Título de capítulo",IF(OR(ISERROR(F966),ISERROR(G966),ISERROR(H966)),"Error en fórmula: pegá como valores",IF(AND(B966="",$C$6=""),"Falta sector",IF(M966="","Falta capítulo",IF(TRIM(E966)="","Falta unidad",IF(NOT((COUNTIF(Listas!$A$2:$A$40,E966)+COUNTIF(Listas!$D$2:$D$60,E966)&gt;0)),"Unidad no reconocida",IF(AND(F966&lt;&gt;"",NOT(ISNUMBER(F966))),"Cantidad no es número",IF(N(F966)&lt;=0,"Falta cantidad",IF(OR(AND(G966&lt;&gt;"",NOT(ISNUMBER(G966))),AND(H966&lt;&gt;"",NOT(ISNUMBER(H966)))),"Precio no es número",IF(N(G966)+N(H966)&lt;=0,"Falta precio","✓ OK")))))))))))</f>
        <v/>
      </c>
      <c r="M966" t="str">
        <f>IF(N966&lt;&gt;"W","",IF(TRIM(C966)&lt;&gt;"",TRIM(C966),IFERROR(LOOKUP(2,1/(N$9:N966="T"),D$9:D966),"")))</f>
        <v/>
      </c>
      <c r="N966" t="str">
        <f t="shared" si="44"/>
        <v/>
      </c>
      <c r="O966" t="str">
        <f>IF(M966="","",IF(COUNTIF(M$9:M966,M966)=1,MAX(O$8:O965)+1,""))</f>
        <v/>
      </c>
    </row>
    <row r="967" spans="1:15" x14ac:dyDescent="0.75">
      <c r="A967" s="24" t="str">
        <f>IF(N967="W",COUNTIF(N$9:N967,"W"),"")</f>
        <v/>
      </c>
      <c r="B967" s="25"/>
      <c r="C967" s="25"/>
      <c r="D967" s="26"/>
      <c r="E967" s="25"/>
      <c r="F967" s="27"/>
      <c r="G967" s="28"/>
      <c r="H967" s="28"/>
      <c r="I967" s="29" t="str">
        <f t="shared" si="42"/>
        <v/>
      </c>
      <c r="J967" s="30" t="str">
        <f t="shared" si="43"/>
        <v/>
      </c>
      <c r="K967" s="26"/>
      <c r="L967" s="24" t="str">
        <f>IF(N967="","",IF(N967="T","Título de capítulo",IF(OR(ISERROR(F967),ISERROR(G967),ISERROR(H967)),"Error en fórmula: pegá como valores",IF(AND(B967="",$C$6=""),"Falta sector",IF(M967="","Falta capítulo",IF(TRIM(E967)="","Falta unidad",IF(NOT((COUNTIF(Listas!$A$2:$A$40,E967)+COUNTIF(Listas!$D$2:$D$60,E967)&gt;0)),"Unidad no reconocida",IF(AND(F967&lt;&gt;"",NOT(ISNUMBER(F967))),"Cantidad no es número",IF(N(F967)&lt;=0,"Falta cantidad",IF(OR(AND(G967&lt;&gt;"",NOT(ISNUMBER(G967))),AND(H967&lt;&gt;"",NOT(ISNUMBER(H967)))),"Precio no es número",IF(N(G967)+N(H967)&lt;=0,"Falta precio","✓ OK")))))))))))</f>
        <v/>
      </c>
      <c r="M967" t="str">
        <f>IF(N967&lt;&gt;"W","",IF(TRIM(C967)&lt;&gt;"",TRIM(C967),IFERROR(LOOKUP(2,1/(N$9:N967="T"),D$9:D967),"")))</f>
        <v/>
      </c>
      <c r="N967" t="str">
        <f t="shared" si="44"/>
        <v/>
      </c>
      <c r="O967" t="str">
        <f>IF(M967="","",IF(COUNTIF(M$9:M967,M967)=1,MAX(O$8:O966)+1,""))</f>
        <v/>
      </c>
    </row>
    <row r="968" spans="1:15" x14ac:dyDescent="0.75">
      <c r="A968" s="24" t="str">
        <f>IF(N968="W",COUNTIF(N$9:N968,"W"),"")</f>
        <v/>
      </c>
      <c r="B968" s="25"/>
      <c r="C968" s="25"/>
      <c r="D968" s="26"/>
      <c r="E968" s="25"/>
      <c r="F968" s="27"/>
      <c r="G968" s="28"/>
      <c r="H968" s="28"/>
      <c r="I968" s="29" t="str">
        <f t="shared" si="42"/>
        <v/>
      </c>
      <c r="J968" s="30" t="str">
        <f t="shared" si="43"/>
        <v/>
      </c>
      <c r="K968" s="26"/>
      <c r="L968" s="24" t="str">
        <f>IF(N968="","",IF(N968="T","Título de capítulo",IF(OR(ISERROR(F968),ISERROR(G968),ISERROR(H968)),"Error en fórmula: pegá como valores",IF(AND(B968="",$C$6=""),"Falta sector",IF(M968="","Falta capítulo",IF(TRIM(E968)="","Falta unidad",IF(NOT((COUNTIF(Listas!$A$2:$A$40,E968)+COUNTIF(Listas!$D$2:$D$60,E968)&gt;0)),"Unidad no reconocida",IF(AND(F968&lt;&gt;"",NOT(ISNUMBER(F968))),"Cantidad no es número",IF(N(F968)&lt;=0,"Falta cantidad",IF(OR(AND(G968&lt;&gt;"",NOT(ISNUMBER(G968))),AND(H968&lt;&gt;"",NOT(ISNUMBER(H968)))),"Precio no es número",IF(N(G968)+N(H968)&lt;=0,"Falta precio","✓ OK")))))))))))</f>
        <v/>
      </c>
      <c r="M968" t="str">
        <f>IF(N968&lt;&gt;"W","",IF(TRIM(C968)&lt;&gt;"",TRIM(C968),IFERROR(LOOKUP(2,1/(N$9:N968="T"),D$9:D968),"")))</f>
        <v/>
      </c>
      <c r="N968" t="str">
        <f t="shared" si="44"/>
        <v/>
      </c>
      <c r="O968" t="str">
        <f>IF(M968="","",IF(COUNTIF(M$9:M968,M968)=1,MAX(O$8:O967)+1,""))</f>
        <v/>
      </c>
    </row>
    <row r="969" spans="1:15" x14ac:dyDescent="0.75">
      <c r="A969" s="24" t="str">
        <f>IF(N969="W",COUNTIF(N$9:N969,"W"),"")</f>
        <v/>
      </c>
      <c r="B969" s="25"/>
      <c r="C969" s="25"/>
      <c r="D969" s="26"/>
      <c r="E969" s="25"/>
      <c r="F969" s="27"/>
      <c r="G969" s="28"/>
      <c r="H969" s="28"/>
      <c r="I969" s="29" t="str">
        <f t="shared" ref="I969:I1032" si="45">IF(N969="W",IFERROR(N(G969)+N(H969),0),"")</f>
        <v/>
      </c>
      <c r="J969" s="30" t="str">
        <f t="shared" ref="J969:J1032" si="46">IF(N969="W",IFERROR(N(F969)*I969,0),"")</f>
        <v/>
      </c>
      <c r="K969" s="26"/>
      <c r="L969" s="24" t="str">
        <f>IF(N969="","",IF(N969="T","Título de capítulo",IF(OR(ISERROR(F969),ISERROR(G969),ISERROR(H969)),"Error en fórmula: pegá como valores",IF(AND(B969="",$C$6=""),"Falta sector",IF(M969="","Falta capítulo",IF(TRIM(E969)="","Falta unidad",IF(NOT((COUNTIF(Listas!$A$2:$A$40,E969)+COUNTIF(Listas!$D$2:$D$60,E969)&gt;0)),"Unidad no reconocida",IF(AND(F969&lt;&gt;"",NOT(ISNUMBER(F969))),"Cantidad no es número",IF(N(F969)&lt;=0,"Falta cantidad",IF(OR(AND(G969&lt;&gt;"",NOT(ISNUMBER(G969))),AND(H969&lt;&gt;"",NOT(ISNUMBER(H969)))),"Precio no es número",IF(N(G969)+N(H969)&lt;=0,"Falta precio","✓ OK")))))))))))</f>
        <v/>
      </c>
      <c r="M969" t="str">
        <f>IF(N969&lt;&gt;"W","",IF(TRIM(C969)&lt;&gt;"",TRIM(C969),IFERROR(LOOKUP(2,1/(N$9:N969="T"),D$9:D969),"")))</f>
        <v/>
      </c>
      <c r="N969" t="str">
        <f t="shared" ref="N969:N1008" si="47">IF(TRIM(D969)="","",IF(AND(TRIM(E969)="",IFERROR(N(F969),1)=0,IFERROR(N(G969)+N(H969),1)=0),"T","W"))</f>
        <v/>
      </c>
      <c r="O969" t="str">
        <f>IF(M969="","",IF(COUNTIF(M$9:M969,M969)=1,MAX(O$8:O968)+1,""))</f>
        <v/>
      </c>
    </row>
    <row r="970" spans="1:15" x14ac:dyDescent="0.75">
      <c r="A970" s="24" t="str">
        <f>IF(N970="W",COUNTIF(N$9:N970,"W"),"")</f>
        <v/>
      </c>
      <c r="B970" s="25"/>
      <c r="C970" s="25"/>
      <c r="D970" s="26"/>
      <c r="E970" s="25"/>
      <c r="F970" s="27"/>
      <c r="G970" s="28"/>
      <c r="H970" s="28"/>
      <c r="I970" s="29" t="str">
        <f t="shared" si="45"/>
        <v/>
      </c>
      <c r="J970" s="30" t="str">
        <f t="shared" si="46"/>
        <v/>
      </c>
      <c r="K970" s="26"/>
      <c r="L970" s="24" t="str">
        <f>IF(N970="","",IF(N970="T","Título de capítulo",IF(OR(ISERROR(F970),ISERROR(G970),ISERROR(H970)),"Error en fórmula: pegá como valores",IF(AND(B970="",$C$6=""),"Falta sector",IF(M970="","Falta capítulo",IF(TRIM(E970)="","Falta unidad",IF(NOT((COUNTIF(Listas!$A$2:$A$40,E970)+COUNTIF(Listas!$D$2:$D$60,E970)&gt;0)),"Unidad no reconocida",IF(AND(F970&lt;&gt;"",NOT(ISNUMBER(F970))),"Cantidad no es número",IF(N(F970)&lt;=0,"Falta cantidad",IF(OR(AND(G970&lt;&gt;"",NOT(ISNUMBER(G970))),AND(H970&lt;&gt;"",NOT(ISNUMBER(H970)))),"Precio no es número",IF(N(G970)+N(H970)&lt;=0,"Falta precio","✓ OK")))))))))))</f>
        <v/>
      </c>
      <c r="M970" t="str">
        <f>IF(N970&lt;&gt;"W","",IF(TRIM(C970)&lt;&gt;"",TRIM(C970),IFERROR(LOOKUP(2,1/(N$9:N970="T"),D$9:D970),"")))</f>
        <v/>
      </c>
      <c r="N970" t="str">
        <f t="shared" si="47"/>
        <v/>
      </c>
      <c r="O970" t="str">
        <f>IF(M970="","",IF(COUNTIF(M$9:M970,M970)=1,MAX(O$8:O969)+1,""))</f>
        <v/>
      </c>
    </row>
    <row r="971" spans="1:15" x14ac:dyDescent="0.75">
      <c r="A971" s="24" t="str">
        <f>IF(N971="W",COUNTIF(N$9:N971,"W"),"")</f>
        <v/>
      </c>
      <c r="B971" s="25"/>
      <c r="C971" s="25"/>
      <c r="D971" s="26"/>
      <c r="E971" s="25"/>
      <c r="F971" s="27"/>
      <c r="G971" s="28"/>
      <c r="H971" s="28"/>
      <c r="I971" s="29" t="str">
        <f t="shared" si="45"/>
        <v/>
      </c>
      <c r="J971" s="30" t="str">
        <f t="shared" si="46"/>
        <v/>
      </c>
      <c r="K971" s="26"/>
      <c r="L971" s="24" t="str">
        <f>IF(N971="","",IF(N971="T","Título de capítulo",IF(OR(ISERROR(F971),ISERROR(G971),ISERROR(H971)),"Error en fórmula: pegá como valores",IF(AND(B971="",$C$6=""),"Falta sector",IF(M971="","Falta capítulo",IF(TRIM(E971)="","Falta unidad",IF(NOT((COUNTIF(Listas!$A$2:$A$40,E971)+COUNTIF(Listas!$D$2:$D$60,E971)&gt;0)),"Unidad no reconocida",IF(AND(F971&lt;&gt;"",NOT(ISNUMBER(F971))),"Cantidad no es número",IF(N(F971)&lt;=0,"Falta cantidad",IF(OR(AND(G971&lt;&gt;"",NOT(ISNUMBER(G971))),AND(H971&lt;&gt;"",NOT(ISNUMBER(H971)))),"Precio no es número",IF(N(G971)+N(H971)&lt;=0,"Falta precio","✓ OK")))))))))))</f>
        <v/>
      </c>
      <c r="M971" t="str">
        <f>IF(N971&lt;&gt;"W","",IF(TRIM(C971)&lt;&gt;"",TRIM(C971),IFERROR(LOOKUP(2,1/(N$9:N971="T"),D$9:D971),"")))</f>
        <v/>
      </c>
      <c r="N971" t="str">
        <f t="shared" si="47"/>
        <v/>
      </c>
      <c r="O971" t="str">
        <f>IF(M971="","",IF(COUNTIF(M$9:M971,M971)=1,MAX(O$8:O970)+1,""))</f>
        <v/>
      </c>
    </row>
    <row r="972" spans="1:15" x14ac:dyDescent="0.75">
      <c r="A972" s="24" t="str">
        <f>IF(N972="W",COUNTIF(N$9:N972,"W"),"")</f>
        <v/>
      </c>
      <c r="B972" s="25"/>
      <c r="C972" s="25"/>
      <c r="D972" s="26"/>
      <c r="E972" s="25"/>
      <c r="F972" s="27"/>
      <c r="G972" s="28"/>
      <c r="H972" s="28"/>
      <c r="I972" s="29" t="str">
        <f t="shared" si="45"/>
        <v/>
      </c>
      <c r="J972" s="30" t="str">
        <f t="shared" si="46"/>
        <v/>
      </c>
      <c r="K972" s="26"/>
      <c r="L972" s="24" t="str">
        <f>IF(N972="","",IF(N972="T","Título de capítulo",IF(OR(ISERROR(F972),ISERROR(G972),ISERROR(H972)),"Error en fórmula: pegá como valores",IF(AND(B972="",$C$6=""),"Falta sector",IF(M972="","Falta capítulo",IF(TRIM(E972)="","Falta unidad",IF(NOT((COUNTIF(Listas!$A$2:$A$40,E972)+COUNTIF(Listas!$D$2:$D$60,E972)&gt;0)),"Unidad no reconocida",IF(AND(F972&lt;&gt;"",NOT(ISNUMBER(F972))),"Cantidad no es número",IF(N(F972)&lt;=0,"Falta cantidad",IF(OR(AND(G972&lt;&gt;"",NOT(ISNUMBER(G972))),AND(H972&lt;&gt;"",NOT(ISNUMBER(H972)))),"Precio no es número",IF(N(G972)+N(H972)&lt;=0,"Falta precio","✓ OK")))))))))))</f>
        <v/>
      </c>
      <c r="M972" t="str">
        <f>IF(N972&lt;&gt;"W","",IF(TRIM(C972)&lt;&gt;"",TRIM(C972),IFERROR(LOOKUP(2,1/(N$9:N972="T"),D$9:D972),"")))</f>
        <v/>
      </c>
      <c r="N972" t="str">
        <f t="shared" si="47"/>
        <v/>
      </c>
      <c r="O972" t="str">
        <f>IF(M972="","",IF(COUNTIF(M$9:M972,M972)=1,MAX(O$8:O971)+1,""))</f>
        <v/>
      </c>
    </row>
    <row r="973" spans="1:15" x14ac:dyDescent="0.75">
      <c r="A973" s="24" t="str">
        <f>IF(N973="W",COUNTIF(N$9:N973,"W"),"")</f>
        <v/>
      </c>
      <c r="B973" s="25"/>
      <c r="C973" s="25"/>
      <c r="D973" s="26"/>
      <c r="E973" s="25"/>
      <c r="F973" s="27"/>
      <c r="G973" s="28"/>
      <c r="H973" s="28"/>
      <c r="I973" s="29" t="str">
        <f t="shared" si="45"/>
        <v/>
      </c>
      <c r="J973" s="30" t="str">
        <f t="shared" si="46"/>
        <v/>
      </c>
      <c r="K973" s="26"/>
      <c r="L973" s="24" t="str">
        <f>IF(N973="","",IF(N973="T","Título de capítulo",IF(OR(ISERROR(F973),ISERROR(G973),ISERROR(H973)),"Error en fórmula: pegá como valores",IF(AND(B973="",$C$6=""),"Falta sector",IF(M973="","Falta capítulo",IF(TRIM(E973)="","Falta unidad",IF(NOT((COUNTIF(Listas!$A$2:$A$40,E973)+COUNTIF(Listas!$D$2:$D$60,E973)&gt;0)),"Unidad no reconocida",IF(AND(F973&lt;&gt;"",NOT(ISNUMBER(F973))),"Cantidad no es número",IF(N(F973)&lt;=0,"Falta cantidad",IF(OR(AND(G973&lt;&gt;"",NOT(ISNUMBER(G973))),AND(H973&lt;&gt;"",NOT(ISNUMBER(H973)))),"Precio no es número",IF(N(G973)+N(H973)&lt;=0,"Falta precio","✓ OK")))))))))))</f>
        <v/>
      </c>
      <c r="M973" t="str">
        <f>IF(N973&lt;&gt;"W","",IF(TRIM(C973)&lt;&gt;"",TRIM(C973),IFERROR(LOOKUP(2,1/(N$9:N973="T"),D$9:D973),"")))</f>
        <v/>
      </c>
      <c r="N973" t="str">
        <f t="shared" si="47"/>
        <v/>
      </c>
      <c r="O973" t="str">
        <f>IF(M973="","",IF(COUNTIF(M$9:M973,M973)=1,MAX(O$8:O972)+1,""))</f>
        <v/>
      </c>
    </row>
    <row r="974" spans="1:15" x14ac:dyDescent="0.75">
      <c r="A974" s="24" t="str">
        <f>IF(N974="W",COUNTIF(N$9:N974,"W"),"")</f>
        <v/>
      </c>
      <c r="B974" s="25"/>
      <c r="C974" s="25"/>
      <c r="D974" s="26"/>
      <c r="E974" s="25"/>
      <c r="F974" s="27"/>
      <c r="G974" s="28"/>
      <c r="H974" s="28"/>
      <c r="I974" s="29" t="str">
        <f t="shared" si="45"/>
        <v/>
      </c>
      <c r="J974" s="30" t="str">
        <f t="shared" si="46"/>
        <v/>
      </c>
      <c r="K974" s="26"/>
      <c r="L974" s="24" t="str">
        <f>IF(N974="","",IF(N974="T","Título de capítulo",IF(OR(ISERROR(F974),ISERROR(G974),ISERROR(H974)),"Error en fórmula: pegá como valores",IF(AND(B974="",$C$6=""),"Falta sector",IF(M974="","Falta capítulo",IF(TRIM(E974)="","Falta unidad",IF(NOT((COUNTIF(Listas!$A$2:$A$40,E974)+COUNTIF(Listas!$D$2:$D$60,E974)&gt;0)),"Unidad no reconocida",IF(AND(F974&lt;&gt;"",NOT(ISNUMBER(F974))),"Cantidad no es número",IF(N(F974)&lt;=0,"Falta cantidad",IF(OR(AND(G974&lt;&gt;"",NOT(ISNUMBER(G974))),AND(H974&lt;&gt;"",NOT(ISNUMBER(H974)))),"Precio no es número",IF(N(G974)+N(H974)&lt;=0,"Falta precio","✓ OK")))))))))))</f>
        <v/>
      </c>
      <c r="M974" t="str">
        <f>IF(N974&lt;&gt;"W","",IF(TRIM(C974)&lt;&gt;"",TRIM(C974),IFERROR(LOOKUP(2,1/(N$9:N974="T"),D$9:D974),"")))</f>
        <v/>
      </c>
      <c r="N974" t="str">
        <f t="shared" si="47"/>
        <v/>
      </c>
      <c r="O974" t="str">
        <f>IF(M974="","",IF(COUNTIF(M$9:M974,M974)=1,MAX(O$8:O973)+1,""))</f>
        <v/>
      </c>
    </row>
    <row r="975" spans="1:15" x14ac:dyDescent="0.75">
      <c r="A975" s="24" t="str">
        <f>IF(N975="W",COUNTIF(N$9:N975,"W"),"")</f>
        <v/>
      </c>
      <c r="B975" s="25"/>
      <c r="C975" s="25"/>
      <c r="D975" s="26"/>
      <c r="E975" s="25"/>
      <c r="F975" s="27"/>
      <c r="G975" s="28"/>
      <c r="H975" s="28"/>
      <c r="I975" s="29" t="str">
        <f t="shared" si="45"/>
        <v/>
      </c>
      <c r="J975" s="30" t="str">
        <f t="shared" si="46"/>
        <v/>
      </c>
      <c r="K975" s="26"/>
      <c r="L975" s="24" t="str">
        <f>IF(N975="","",IF(N975="T","Título de capítulo",IF(OR(ISERROR(F975),ISERROR(G975),ISERROR(H975)),"Error en fórmula: pegá como valores",IF(AND(B975="",$C$6=""),"Falta sector",IF(M975="","Falta capítulo",IF(TRIM(E975)="","Falta unidad",IF(NOT((COUNTIF(Listas!$A$2:$A$40,E975)+COUNTIF(Listas!$D$2:$D$60,E975)&gt;0)),"Unidad no reconocida",IF(AND(F975&lt;&gt;"",NOT(ISNUMBER(F975))),"Cantidad no es número",IF(N(F975)&lt;=0,"Falta cantidad",IF(OR(AND(G975&lt;&gt;"",NOT(ISNUMBER(G975))),AND(H975&lt;&gt;"",NOT(ISNUMBER(H975)))),"Precio no es número",IF(N(G975)+N(H975)&lt;=0,"Falta precio","✓ OK")))))))))))</f>
        <v/>
      </c>
      <c r="M975" t="str">
        <f>IF(N975&lt;&gt;"W","",IF(TRIM(C975)&lt;&gt;"",TRIM(C975),IFERROR(LOOKUP(2,1/(N$9:N975="T"),D$9:D975),"")))</f>
        <v/>
      </c>
      <c r="N975" t="str">
        <f t="shared" si="47"/>
        <v/>
      </c>
      <c r="O975" t="str">
        <f>IF(M975="","",IF(COUNTIF(M$9:M975,M975)=1,MAX(O$8:O974)+1,""))</f>
        <v/>
      </c>
    </row>
    <row r="976" spans="1:15" x14ac:dyDescent="0.75">
      <c r="A976" s="24" t="str">
        <f>IF(N976="W",COUNTIF(N$9:N976,"W"),"")</f>
        <v/>
      </c>
      <c r="B976" s="25"/>
      <c r="C976" s="25"/>
      <c r="D976" s="26"/>
      <c r="E976" s="25"/>
      <c r="F976" s="27"/>
      <c r="G976" s="28"/>
      <c r="H976" s="28"/>
      <c r="I976" s="29" t="str">
        <f t="shared" si="45"/>
        <v/>
      </c>
      <c r="J976" s="30" t="str">
        <f t="shared" si="46"/>
        <v/>
      </c>
      <c r="K976" s="26"/>
      <c r="L976" s="24" t="str">
        <f>IF(N976="","",IF(N976="T","Título de capítulo",IF(OR(ISERROR(F976),ISERROR(G976),ISERROR(H976)),"Error en fórmula: pegá como valores",IF(AND(B976="",$C$6=""),"Falta sector",IF(M976="","Falta capítulo",IF(TRIM(E976)="","Falta unidad",IF(NOT((COUNTIF(Listas!$A$2:$A$40,E976)+COUNTIF(Listas!$D$2:$D$60,E976)&gt;0)),"Unidad no reconocida",IF(AND(F976&lt;&gt;"",NOT(ISNUMBER(F976))),"Cantidad no es número",IF(N(F976)&lt;=0,"Falta cantidad",IF(OR(AND(G976&lt;&gt;"",NOT(ISNUMBER(G976))),AND(H976&lt;&gt;"",NOT(ISNUMBER(H976)))),"Precio no es número",IF(N(G976)+N(H976)&lt;=0,"Falta precio","✓ OK")))))))))))</f>
        <v/>
      </c>
      <c r="M976" t="str">
        <f>IF(N976&lt;&gt;"W","",IF(TRIM(C976)&lt;&gt;"",TRIM(C976),IFERROR(LOOKUP(2,1/(N$9:N976="T"),D$9:D976),"")))</f>
        <v/>
      </c>
      <c r="N976" t="str">
        <f t="shared" si="47"/>
        <v/>
      </c>
      <c r="O976" t="str">
        <f>IF(M976="","",IF(COUNTIF(M$9:M976,M976)=1,MAX(O$8:O975)+1,""))</f>
        <v/>
      </c>
    </row>
    <row r="977" spans="1:15" x14ac:dyDescent="0.75">
      <c r="A977" s="24" t="str">
        <f>IF(N977="W",COUNTIF(N$9:N977,"W"),"")</f>
        <v/>
      </c>
      <c r="B977" s="25"/>
      <c r="C977" s="25"/>
      <c r="D977" s="26"/>
      <c r="E977" s="25"/>
      <c r="F977" s="27"/>
      <c r="G977" s="28"/>
      <c r="H977" s="28"/>
      <c r="I977" s="29" t="str">
        <f t="shared" si="45"/>
        <v/>
      </c>
      <c r="J977" s="30" t="str">
        <f t="shared" si="46"/>
        <v/>
      </c>
      <c r="K977" s="26"/>
      <c r="L977" s="24" t="str">
        <f>IF(N977="","",IF(N977="T","Título de capítulo",IF(OR(ISERROR(F977),ISERROR(G977),ISERROR(H977)),"Error en fórmula: pegá como valores",IF(AND(B977="",$C$6=""),"Falta sector",IF(M977="","Falta capítulo",IF(TRIM(E977)="","Falta unidad",IF(NOT((COUNTIF(Listas!$A$2:$A$40,E977)+COUNTIF(Listas!$D$2:$D$60,E977)&gt;0)),"Unidad no reconocida",IF(AND(F977&lt;&gt;"",NOT(ISNUMBER(F977))),"Cantidad no es número",IF(N(F977)&lt;=0,"Falta cantidad",IF(OR(AND(G977&lt;&gt;"",NOT(ISNUMBER(G977))),AND(H977&lt;&gt;"",NOT(ISNUMBER(H977)))),"Precio no es número",IF(N(G977)+N(H977)&lt;=0,"Falta precio","✓ OK")))))))))))</f>
        <v/>
      </c>
      <c r="M977" t="str">
        <f>IF(N977&lt;&gt;"W","",IF(TRIM(C977)&lt;&gt;"",TRIM(C977),IFERROR(LOOKUP(2,1/(N$9:N977="T"),D$9:D977),"")))</f>
        <v/>
      </c>
      <c r="N977" t="str">
        <f t="shared" si="47"/>
        <v/>
      </c>
      <c r="O977" t="str">
        <f>IF(M977="","",IF(COUNTIF(M$9:M977,M977)=1,MAX(O$8:O976)+1,""))</f>
        <v/>
      </c>
    </row>
    <row r="978" spans="1:15" x14ac:dyDescent="0.75">
      <c r="A978" s="24" t="str">
        <f>IF(N978="W",COUNTIF(N$9:N978,"W"),"")</f>
        <v/>
      </c>
      <c r="B978" s="25"/>
      <c r="C978" s="25"/>
      <c r="D978" s="26"/>
      <c r="E978" s="25"/>
      <c r="F978" s="27"/>
      <c r="G978" s="28"/>
      <c r="H978" s="28"/>
      <c r="I978" s="29" t="str">
        <f t="shared" si="45"/>
        <v/>
      </c>
      <c r="J978" s="30" t="str">
        <f t="shared" si="46"/>
        <v/>
      </c>
      <c r="K978" s="26"/>
      <c r="L978" s="24" t="str">
        <f>IF(N978="","",IF(N978="T","Título de capítulo",IF(OR(ISERROR(F978),ISERROR(G978),ISERROR(H978)),"Error en fórmula: pegá como valores",IF(AND(B978="",$C$6=""),"Falta sector",IF(M978="","Falta capítulo",IF(TRIM(E978)="","Falta unidad",IF(NOT((COUNTIF(Listas!$A$2:$A$40,E978)+COUNTIF(Listas!$D$2:$D$60,E978)&gt;0)),"Unidad no reconocida",IF(AND(F978&lt;&gt;"",NOT(ISNUMBER(F978))),"Cantidad no es número",IF(N(F978)&lt;=0,"Falta cantidad",IF(OR(AND(G978&lt;&gt;"",NOT(ISNUMBER(G978))),AND(H978&lt;&gt;"",NOT(ISNUMBER(H978)))),"Precio no es número",IF(N(G978)+N(H978)&lt;=0,"Falta precio","✓ OK")))))))))))</f>
        <v/>
      </c>
      <c r="M978" t="str">
        <f>IF(N978&lt;&gt;"W","",IF(TRIM(C978)&lt;&gt;"",TRIM(C978),IFERROR(LOOKUP(2,1/(N$9:N978="T"),D$9:D978),"")))</f>
        <v/>
      </c>
      <c r="N978" t="str">
        <f t="shared" si="47"/>
        <v/>
      </c>
      <c r="O978" t="str">
        <f>IF(M978="","",IF(COUNTIF(M$9:M978,M978)=1,MAX(O$8:O977)+1,""))</f>
        <v/>
      </c>
    </row>
    <row r="979" spans="1:15" x14ac:dyDescent="0.75">
      <c r="A979" s="24" t="str">
        <f>IF(N979="W",COUNTIF(N$9:N979,"W"),"")</f>
        <v/>
      </c>
      <c r="B979" s="25"/>
      <c r="C979" s="25"/>
      <c r="D979" s="26"/>
      <c r="E979" s="25"/>
      <c r="F979" s="27"/>
      <c r="G979" s="28"/>
      <c r="H979" s="28"/>
      <c r="I979" s="29" t="str">
        <f t="shared" si="45"/>
        <v/>
      </c>
      <c r="J979" s="30" t="str">
        <f t="shared" si="46"/>
        <v/>
      </c>
      <c r="K979" s="26"/>
      <c r="L979" s="24" t="str">
        <f>IF(N979="","",IF(N979="T","Título de capítulo",IF(OR(ISERROR(F979),ISERROR(G979),ISERROR(H979)),"Error en fórmula: pegá como valores",IF(AND(B979="",$C$6=""),"Falta sector",IF(M979="","Falta capítulo",IF(TRIM(E979)="","Falta unidad",IF(NOT((COUNTIF(Listas!$A$2:$A$40,E979)+COUNTIF(Listas!$D$2:$D$60,E979)&gt;0)),"Unidad no reconocida",IF(AND(F979&lt;&gt;"",NOT(ISNUMBER(F979))),"Cantidad no es número",IF(N(F979)&lt;=0,"Falta cantidad",IF(OR(AND(G979&lt;&gt;"",NOT(ISNUMBER(G979))),AND(H979&lt;&gt;"",NOT(ISNUMBER(H979)))),"Precio no es número",IF(N(G979)+N(H979)&lt;=0,"Falta precio","✓ OK")))))))))))</f>
        <v/>
      </c>
      <c r="M979" t="str">
        <f>IF(N979&lt;&gt;"W","",IF(TRIM(C979)&lt;&gt;"",TRIM(C979),IFERROR(LOOKUP(2,1/(N$9:N979="T"),D$9:D979),"")))</f>
        <v/>
      </c>
      <c r="N979" t="str">
        <f t="shared" si="47"/>
        <v/>
      </c>
      <c r="O979" t="str">
        <f>IF(M979="","",IF(COUNTIF(M$9:M979,M979)=1,MAX(O$8:O978)+1,""))</f>
        <v/>
      </c>
    </row>
    <row r="980" spans="1:15" x14ac:dyDescent="0.75">
      <c r="A980" s="24" t="str">
        <f>IF(N980="W",COUNTIF(N$9:N980,"W"),"")</f>
        <v/>
      </c>
      <c r="B980" s="25"/>
      <c r="C980" s="25"/>
      <c r="D980" s="26"/>
      <c r="E980" s="25"/>
      <c r="F980" s="27"/>
      <c r="G980" s="28"/>
      <c r="H980" s="28"/>
      <c r="I980" s="29" t="str">
        <f t="shared" si="45"/>
        <v/>
      </c>
      <c r="J980" s="30" t="str">
        <f t="shared" si="46"/>
        <v/>
      </c>
      <c r="K980" s="26"/>
      <c r="L980" s="24" t="str">
        <f>IF(N980="","",IF(N980="T","Título de capítulo",IF(OR(ISERROR(F980),ISERROR(G980),ISERROR(H980)),"Error en fórmula: pegá como valores",IF(AND(B980="",$C$6=""),"Falta sector",IF(M980="","Falta capítulo",IF(TRIM(E980)="","Falta unidad",IF(NOT((COUNTIF(Listas!$A$2:$A$40,E980)+COUNTIF(Listas!$D$2:$D$60,E980)&gt;0)),"Unidad no reconocida",IF(AND(F980&lt;&gt;"",NOT(ISNUMBER(F980))),"Cantidad no es número",IF(N(F980)&lt;=0,"Falta cantidad",IF(OR(AND(G980&lt;&gt;"",NOT(ISNUMBER(G980))),AND(H980&lt;&gt;"",NOT(ISNUMBER(H980)))),"Precio no es número",IF(N(G980)+N(H980)&lt;=0,"Falta precio","✓ OK")))))))))))</f>
        <v/>
      </c>
      <c r="M980" t="str">
        <f>IF(N980&lt;&gt;"W","",IF(TRIM(C980)&lt;&gt;"",TRIM(C980),IFERROR(LOOKUP(2,1/(N$9:N980="T"),D$9:D980),"")))</f>
        <v/>
      </c>
      <c r="N980" t="str">
        <f t="shared" si="47"/>
        <v/>
      </c>
      <c r="O980" t="str">
        <f>IF(M980="","",IF(COUNTIF(M$9:M980,M980)=1,MAX(O$8:O979)+1,""))</f>
        <v/>
      </c>
    </row>
    <row r="981" spans="1:15" x14ac:dyDescent="0.75">
      <c r="A981" s="24" t="str">
        <f>IF(N981="W",COUNTIF(N$9:N981,"W"),"")</f>
        <v/>
      </c>
      <c r="B981" s="25"/>
      <c r="C981" s="25"/>
      <c r="D981" s="26"/>
      <c r="E981" s="25"/>
      <c r="F981" s="27"/>
      <c r="G981" s="28"/>
      <c r="H981" s="28"/>
      <c r="I981" s="29" t="str">
        <f t="shared" si="45"/>
        <v/>
      </c>
      <c r="J981" s="30" t="str">
        <f t="shared" si="46"/>
        <v/>
      </c>
      <c r="K981" s="26"/>
      <c r="L981" s="24" t="str">
        <f>IF(N981="","",IF(N981="T","Título de capítulo",IF(OR(ISERROR(F981),ISERROR(G981),ISERROR(H981)),"Error en fórmula: pegá como valores",IF(AND(B981="",$C$6=""),"Falta sector",IF(M981="","Falta capítulo",IF(TRIM(E981)="","Falta unidad",IF(NOT((COUNTIF(Listas!$A$2:$A$40,E981)+COUNTIF(Listas!$D$2:$D$60,E981)&gt;0)),"Unidad no reconocida",IF(AND(F981&lt;&gt;"",NOT(ISNUMBER(F981))),"Cantidad no es número",IF(N(F981)&lt;=0,"Falta cantidad",IF(OR(AND(G981&lt;&gt;"",NOT(ISNUMBER(G981))),AND(H981&lt;&gt;"",NOT(ISNUMBER(H981)))),"Precio no es número",IF(N(G981)+N(H981)&lt;=0,"Falta precio","✓ OK")))))))))))</f>
        <v/>
      </c>
      <c r="M981" t="str">
        <f>IF(N981&lt;&gt;"W","",IF(TRIM(C981)&lt;&gt;"",TRIM(C981),IFERROR(LOOKUP(2,1/(N$9:N981="T"),D$9:D981),"")))</f>
        <v/>
      </c>
      <c r="N981" t="str">
        <f t="shared" si="47"/>
        <v/>
      </c>
      <c r="O981" t="str">
        <f>IF(M981="","",IF(COUNTIF(M$9:M981,M981)=1,MAX(O$8:O980)+1,""))</f>
        <v/>
      </c>
    </row>
    <row r="982" spans="1:15" x14ac:dyDescent="0.75">
      <c r="A982" s="24" t="str">
        <f>IF(N982="W",COUNTIF(N$9:N982,"W"),"")</f>
        <v/>
      </c>
      <c r="B982" s="25"/>
      <c r="C982" s="25"/>
      <c r="D982" s="26"/>
      <c r="E982" s="25"/>
      <c r="F982" s="27"/>
      <c r="G982" s="28"/>
      <c r="H982" s="28"/>
      <c r="I982" s="29" t="str">
        <f t="shared" si="45"/>
        <v/>
      </c>
      <c r="J982" s="30" t="str">
        <f t="shared" si="46"/>
        <v/>
      </c>
      <c r="K982" s="26"/>
      <c r="L982" s="24" t="str">
        <f>IF(N982="","",IF(N982="T","Título de capítulo",IF(OR(ISERROR(F982),ISERROR(G982),ISERROR(H982)),"Error en fórmula: pegá como valores",IF(AND(B982="",$C$6=""),"Falta sector",IF(M982="","Falta capítulo",IF(TRIM(E982)="","Falta unidad",IF(NOT((COUNTIF(Listas!$A$2:$A$40,E982)+COUNTIF(Listas!$D$2:$D$60,E982)&gt;0)),"Unidad no reconocida",IF(AND(F982&lt;&gt;"",NOT(ISNUMBER(F982))),"Cantidad no es número",IF(N(F982)&lt;=0,"Falta cantidad",IF(OR(AND(G982&lt;&gt;"",NOT(ISNUMBER(G982))),AND(H982&lt;&gt;"",NOT(ISNUMBER(H982)))),"Precio no es número",IF(N(G982)+N(H982)&lt;=0,"Falta precio","✓ OK")))))))))))</f>
        <v/>
      </c>
      <c r="M982" t="str">
        <f>IF(N982&lt;&gt;"W","",IF(TRIM(C982)&lt;&gt;"",TRIM(C982),IFERROR(LOOKUP(2,1/(N$9:N982="T"),D$9:D982),"")))</f>
        <v/>
      </c>
      <c r="N982" t="str">
        <f t="shared" si="47"/>
        <v/>
      </c>
      <c r="O982" t="str">
        <f>IF(M982="","",IF(COUNTIF(M$9:M982,M982)=1,MAX(O$8:O981)+1,""))</f>
        <v/>
      </c>
    </row>
    <row r="983" spans="1:15" x14ac:dyDescent="0.75">
      <c r="A983" s="24" t="str">
        <f>IF(N983="W",COUNTIF(N$9:N983,"W"),"")</f>
        <v/>
      </c>
      <c r="B983" s="25"/>
      <c r="C983" s="25"/>
      <c r="D983" s="26"/>
      <c r="E983" s="25"/>
      <c r="F983" s="27"/>
      <c r="G983" s="28"/>
      <c r="H983" s="28"/>
      <c r="I983" s="29" t="str">
        <f t="shared" si="45"/>
        <v/>
      </c>
      <c r="J983" s="30" t="str">
        <f t="shared" si="46"/>
        <v/>
      </c>
      <c r="K983" s="26"/>
      <c r="L983" s="24" t="str">
        <f>IF(N983="","",IF(N983="T","Título de capítulo",IF(OR(ISERROR(F983),ISERROR(G983),ISERROR(H983)),"Error en fórmula: pegá como valores",IF(AND(B983="",$C$6=""),"Falta sector",IF(M983="","Falta capítulo",IF(TRIM(E983)="","Falta unidad",IF(NOT((COUNTIF(Listas!$A$2:$A$40,E983)+COUNTIF(Listas!$D$2:$D$60,E983)&gt;0)),"Unidad no reconocida",IF(AND(F983&lt;&gt;"",NOT(ISNUMBER(F983))),"Cantidad no es número",IF(N(F983)&lt;=0,"Falta cantidad",IF(OR(AND(G983&lt;&gt;"",NOT(ISNUMBER(G983))),AND(H983&lt;&gt;"",NOT(ISNUMBER(H983)))),"Precio no es número",IF(N(G983)+N(H983)&lt;=0,"Falta precio","✓ OK")))))))))))</f>
        <v/>
      </c>
      <c r="M983" t="str">
        <f>IF(N983&lt;&gt;"W","",IF(TRIM(C983)&lt;&gt;"",TRIM(C983),IFERROR(LOOKUP(2,1/(N$9:N983="T"),D$9:D983),"")))</f>
        <v/>
      </c>
      <c r="N983" t="str">
        <f t="shared" si="47"/>
        <v/>
      </c>
      <c r="O983" t="str">
        <f>IF(M983="","",IF(COUNTIF(M$9:M983,M983)=1,MAX(O$8:O982)+1,""))</f>
        <v/>
      </c>
    </row>
    <row r="984" spans="1:15" x14ac:dyDescent="0.75">
      <c r="A984" s="24" t="str">
        <f>IF(N984="W",COUNTIF(N$9:N984,"W"),"")</f>
        <v/>
      </c>
      <c r="B984" s="25"/>
      <c r="C984" s="25"/>
      <c r="D984" s="26"/>
      <c r="E984" s="25"/>
      <c r="F984" s="27"/>
      <c r="G984" s="28"/>
      <c r="H984" s="28"/>
      <c r="I984" s="29" t="str">
        <f t="shared" si="45"/>
        <v/>
      </c>
      <c r="J984" s="30" t="str">
        <f t="shared" si="46"/>
        <v/>
      </c>
      <c r="K984" s="26"/>
      <c r="L984" s="24" t="str">
        <f>IF(N984="","",IF(N984="T","Título de capítulo",IF(OR(ISERROR(F984),ISERROR(G984),ISERROR(H984)),"Error en fórmula: pegá como valores",IF(AND(B984="",$C$6=""),"Falta sector",IF(M984="","Falta capítulo",IF(TRIM(E984)="","Falta unidad",IF(NOT((COUNTIF(Listas!$A$2:$A$40,E984)+COUNTIF(Listas!$D$2:$D$60,E984)&gt;0)),"Unidad no reconocida",IF(AND(F984&lt;&gt;"",NOT(ISNUMBER(F984))),"Cantidad no es número",IF(N(F984)&lt;=0,"Falta cantidad",IF(OR(AND(G984&lt;&gt;"",NOT(ISNUMBER(G984))),AND(H984&lt;&gt;"",NOT(ISNUMBER(H984)))),"Precio no es número",IF(N(G984)+N(H984)&lt;=0,"Falta precio","✓ OK")))))))))))</f>
        <v/>
      </c>
      <c r="M984" t="str">
        <f>IF(N984&lt;&gt;"W","",IF(TRIM(C984)&lt;&gt;"",TRIM(C984),IFERROR(LOOKUP(2,1/(N$9:N984="T"),D$9:D984),"")))</f>
        <v/>
      </c>
      <c r="N984" t="str">
        <f t="shared" si="47"/>
        <v/>
      </c>
      <c r="O984" t="str">
        <f>IF(M984="","",IF(COUNTIF(M$9:M984,M984)=1,MAX(O$8:O983)+1,""))</f>
        <v/>
      </c>
    </row>
    <row r="985" spans="1:15" x14ac:dyDescent="0.75">
      <c r="A985" s="24" t="str">
        <f>IF(N985="W",COUNTIF(N$9:N985,"W"),"")</f>
        <v/>
      </c>
      <c r="B985" s="25"/>
      <c r="C985" s="25"/>
      <c r="D985" s="26"/>
      <c r="E985" s="25"/>
      <c r="F985" s="27"/>
      <c r="G985" s="28"/>
      <c r="H985" s="28"/>
      <c r="I985" s="29" t="str">
        <f t="shared" si="45"/>
        <v/>
      </c>
      <c r="J985" s="30" t="str">
        <f t="shared" si="46"/>
        <v/>
      </c>
      <c r="K985" s="26"/>
      <c r="L985" s="24" t="str">
        <f>IF(N985="","",IF(N985="T","Título de capítulo",IF(OR(ISERROR(F985),ISERROR(G985),ISERROR(H985)),"Error en fórmula: pegá como valores",IF(AND(B985="",$C$6=""),"Falta sector",IF(M985="","Falta capítulo",IF(TRIM(E985)="","Falta unidad",IF(NOT((COUNTIF(Listas!$A$2:$A$40,E985)+COUNTIF(Listas!$D$2:$D$60,E985)&gt;0)),"Unidad no reconocida",IF(AND(F985&lt;&gt;"",NOT(ISNUMBER(F985))),"Cantidad no es número",IF(N(F985)&lt;=0,"Falta cantidad",IF(OR(AND(G985&lt;&gt;"",NOT(ISNUMBER(G985))),AND(H985&lt;&gt;"",NOT(ISNUMBER(H985)))),"Precio no es número",IF(N(G985)+N(H985)&lt;=0,"Falta precio","✓ OK")))))))))))</f>
        <v/>
      </c>
      <c r="M985" t="str">
        <f>IF(N985&lt;&gt;"W","",IF(TRIM(C985)&lt;&gt;"",TRIM(C985),IFERROR(LOOKUP(2,1/(N$9:N985="T"),D$9:D985),"")))</f>
        <v/>
      </c>
      <c r="N985" t="str">
        <f t="shared" si="47"/>
        <v/>
      </c>
      <c r="O985" t="str">
        <f>IF(M985="","",IF(COUNTIF(M$9:M985,M985)=1,MAX(O$8:O984)+1,""))</f>
        <v/>
      </c>
    </row>
    <row r="986" spans="1:15" x14ac:dyDescent="0.75">
      <c r="A986" s="24" t="str">
        <f>IF(N986="W",COUNTIF(N$9:N986,"W"),"")</f>
        <v/>
      </c>
      <c r="B986" s="25"/>
      <c r="C986" s="25"/>
      <c r="D986" s="26"/>
      <c r="E986" s="25"/>
      <c r="F986" s="27"/>
      <c r="G986" s="28"/>
      <c r="H986" s="28"/>
      <c r="I986" s="29" t="str">
        <f t="shared" si="45"/>
        <v/>
      </c>
      <c r="J986" s="30" t="str">
        <f t="shared" si="46"/>
        <v/>
      </c>
      <c r="K986" s="26"/>
      <c r="L986" s="24" t="str">
        <f>IF(N986="","",IF(N986="T","Título de capítulo",IF(OR(ISERROR(F986),ISERROR(G986),ISERROR(H986)),"Error en fórmula: pegá como valores",IF(AND(B986="",$C$6=""),"Falta sector",IF(M986="","Falta capítulo",IF(TRIM(E986)="","Falta unidad",IF(NOT((COUNTIF(Listas!$A$2:$A$40,E986)+COUNTIF(Listas!$D$2:$D$60,E986)&gt;0)),"Unidad no reconocida",IF(AND(F986&lt;&gt;"",NOT(ISNUMBER(F986))),"Cantidad no es número",IF(N(F986)&lt;=0,"Falta cantidad",IF(OR(AND(G986&lt;&gt;"",NOT(ISNUMBER(G986))),AND(H986&lt;&gt;"",NOT(ISNUMBER(H986)))),"Precio no es número",IF(N(G986)+N(H986)&lt;=0,"Falta precio","✓ OK")))))))))))</f>
        <v/>
      </c>
      <c r="M986" t="str">
        <f>IF(N986&lt;&gt;"W","",IF(TRIM(C986)&lt;&gt;"",TRIM(C986),IFERROR(LOOKUP(2,1/(N$9:N986="T"),D$9:D986),"")))</f>
        <v/>
      </c>
      <c r="N986" t="str">
        <f t="shared" si="47"/>
        <v/>
      </c>
      <c r="O986" t="str">
        <f>IF(M986="","",IF(COUNTIF(M$9:M986,M986)=1,MAX(O$8:O985)+1,""))</f>
        <v/>
      </c>
    </row>
    <row r="987" spans="1:15" x14ac:dyDescent="0.75">
      <c r="A987" s="24" t="str">
        <f>IF(N987="W",COUNTIF(N$9:N987,"W"),"")</f>
        <v/>
      </c>
      <c r="B987" s="25"/>
      <c r="C987" s="25"/>
      <c r="D987" s="26"/>
      <c r="E987" s="25"/>
      <c r="F987" s="27"/>
      <c r="G987" s="28"/>
      <c r="H987" s="28"/>
      <c r="I987" s="29" t="str">
        <f t="shared" si="45"/>
        <v/>
      </c>
      <c r="J987" s="30" t="str">
        <f t="shared" si="46"/>
        <v/>
      </c>
      <c r="K987" s="26"/>
      <c r="L987" s="24" t="str">
        <f>IF(N987="","",IF(N987="T","Título de capítulo",IF(OR(ISERROR(F987),ISERROR(G987),ISERROR(H987)),"Error en fórmula: pegá como valores",IF(AND(B987="",$C$6=""),"Falta sector",IF(M987="","Falta capítulo",IF(TRIM(E987)="","Falta unidad",IF(NOT((COUNTIF(Listas!$A$2:$A$40,E987)+COUNTIF(Listas!$D$2:$D$60,E987)&gt;0)),"Unidad no reconocida",IF(AND(F987&lt;&gt;"",NOT(ISNUMBER(F987))),"Cantidad no es número",IF(N(F987)&lt;=0,"Falta cantidad",IF(OR(AND(G987&lt;&gt;"",NOT(ISNUMBER(G987))),AND(H987&lt;&gt;"",NOT(ISNUMBER(H987)))),"Precio no es número",IF(N(G987)+N(H987)&lt;=0,"Falta precio","✓ OK")))))))))))</f>
        <v/>
      </c>
      <c r="M987" t="str">
        <f>IF(N987&lt;&gt;"W","",IF(TRIM(C987)&lt;&gt;"",TRIM(C987),IFERROR(LOOKUP(2,1/(N$9:N987="T"),D$9:D987),"")))</f>
        <v/>
      </c>
      <c r="N987" t="str">
        <f t="shared" si="47"/>
        <v/>
      </c>
      <c r="O987" t="str">
        <f>IF(M987="","",IF(COUNTIF(M$9:M987,M987)=1,MAX(O$8:O986)+1,""))</f>
        <v/>
      </c>
    </row>
    <row r="988" spans="1:15" x14ac:dyDescent="0.75">
      <c r="A988" s="24" t="str">
        <f>IF(N988="W",COUNTIF(N$9:N988,"W"),"")</f>
        <v/>
      </c>
      <c r="B988" s="25"/>
      <c r="C988" s="25"/>
      <c r="D988" s="26"/>
      <c r="E988" s="25"/>
      <c r="F988" s="27"/>
      <c r="G988" s="28"/>
      <c r="H988" s="28"/>
      <c r="I988" s="29" t="str">
        <f t="shared" si="45"/>
        <v/>
      </c>
      <c r="J988" s="30" t="str">
        <f t="shared" si="46"/>
        <v/>
      </c>
      <c r="K988" s="26"/>
      <c r="L988" s="24" t="str">
        <f>IF(N988="","",IF(N988="T","Título de capítulo",IF(OR(ISERROR(F988),ISERROR(G988),ISERROR(H988)),"Error en fórmula: pegá como valores",IF(AND(B988="",$C$6=""),"Falta sector",IF(M988="","Falta capítulo",IF(TRIM(E988)="","Falta unidad",IF(NOT((COUNTIF(Listas!$A$2:$A$40,E988)+COUNTIF(Listas!$D$2:$D$60,E988)&gt;0)),"Unidad no reconocida",IF(AND(F988&lt;&gt;"",NOT(ISNUMBER(F988))),"Cantidad no es número",IF(N(F988)&lt;=0,"Falta cantidad",IF(OR(AND(G988&lt;&gt;"",NOT(ISNUMBER(G988))),AND(H988&lt;&gt;"",NOT(ISNUMBER(H988)))),"Precio no es número",IF(N(G988)+N(H988)&lt;=0,"Falta precio","✓ OK")))))))))))</f>
        <v/>
      </c>
      <c r="M988" t="str">
        <f>IF(N988&lt;&gt;"W","",IF(TRIM(C988)&lt;&gt;"",TRIM(C988),IFERROR(LOOKUP(2,1/(N$9:N988="T"),D$9:D988),"")))</f>
        <v/>
      </c>
      <c r="N988" t="str">
        <f t="shared" si="47"/>
        <v/>
      </c>
      <c r="O988" t="str">
        <f>IF(M988="","",IF(COUNTIF(M$9:M988,M988)=1,MAX(O$8:O987)+1,""))</f>
        <v/>
      </c>
    </row>
    <row r="989" spans="1:15" x14ac:dyDescent="0.75">
      <c r="A989" s="24" t="str">
        <f>IF(N989="W",COUNTIF(N$9:N989,"W"),"")</f>
        <v/>
      </c>
      <c r="B989" s="25"/>
      <c r="C989" s="25"/>
      <c r="D989" s="26"/>
      <c r="E989" s="25"/>
      <c r="F989" s="27"/>
      <c r="G989" s="28"/>
      <c r="H989" s="28"/>
      <c r="I989" s="29" t="str">
        <f t="shared" si="45"/>
        <v/>
      </c>
      <c r="J989" s="30" t="str">
        <f t="shared" si="46"/>
        <v/>
      </c>
      <c r="K989" s="26"/>
      <c r="L989" s="24" t="str">
        <f>IF(N989="","",IF(N989="T","Título de capítulo",IF(OR(ISERROR(F989),ISERROR(G989),ISERROR(H989)),"Error en fórmula: pegá como valores",IF(AND(B989="",$C$6=""),"Falta sector",IF(M989="","Falta capítulo",IF(TRIM(E989)="","Falta unidad",IF(NOT((COUNTIF(Listas!$A$2:$A$40,E989)+COUNTIF(Listas!$D$2:$D$60,E989)&gt;0)),"Unidad no reconocida",IF(AND(F989&lt;&gt;"",NOT(ISNUMBER(F989))),"Cantidad no es número",IF(N(F989)&lt;=0,"Falta cantidad",IF(OR(AND(G989&lt;&gt;"",NOT(ISNUMBER(G989))),AND(H989&lt;&gt;"",NOT(ISNUMBER(H989)))),"Precio no es número",IF(N(G989)+N(H989)&lt;=0,"Falta precio","✓ OK")))))))))))</f>
        <v/>
      </c>
      <c r="M989" t="str">
        <f>IF(N989&lt;&gt;"W","",IF(TRIM(C989)&lt;&gt;"",TRIM(C989),IFERROR(LOOKUP(2,1/(N$9:N989="T"),D$9:D989),"")))</f>
        <v/>
      </c>
      <c r="N989" t="str">
        <f t="shared" si="47"/>
        <v/>
      </c>
      <c r="O989" t="str">
        <f>IF(M989="","",IF(COUNTIF(M$9:M989,M989)=1,MAX(O$8:O988)+1,""))</f>
        <v/>
      </c>
    </row>
    <row r="990" spans="1:15" x14ac:dyDescent="0.75">
      <c r="A990" s="24" t="str">
        <f>IF(N990="W",COUNTIF(N$9:N990,"W"),"")</f>
        <v/>
      </c>
      <c r="B990" s="25"/>
      <c r="C990" s="25"/>
      <c r="D990" s="26"/>
      <c r="E990" s="25"/>
      <c r="F990" s="27"/>
      <c r="G990" s="28"/>
      <c r="H990" s="28"/>
      <c r="I990" s="29" t="str">
        <f t="shared" si="45"/>
        <v/>
      </c>
      <c r="J990" s="30" t="str">
        <f t="shared" si="46"/>
        <v/>
      </c>
      <c r="K990" s="26"/>
      <c r="L990" s="24" t="str">
        <f>IF(N990="","",IF(N990="T","Título de capítulo",IF(OR(ISERROR(F990),ISERROR(G990),ISERROR(H990)),"Error en fórmula: pegá como valores",IF(AND(B990="",$C$6=""),"Falta sector",IF(M990="","Falta capítulo",IF(TRIM(E990)="","Falta unidad",IF(NOT((COUNTIF(Listas!$A$2:$A$40,E990)+COUNTIF(Listas!$D$2:$D$60,E990)&gt;0)),"Unidad no reconocida",IF(AND(F990&lt;&gt;"",NOT(ISNUMBER(F990))),"Cantidad no es número",IF(N(F990)&lt;=0,"Falta cantidad",IF(OR(AND(G990&lt;&gt;"",NOT(ISNUMBER(G990))),AND(H990&lt;&gt;"",NOT(ISNUMBER(H990)))),"Precio no es número",IF(N(G990)+N(H990)&lt;=0,"Falta precio","✓ OK")))))))))))</f>
        <v/>
      </c>
      <c r="M990" t="str">
        <f>IF(N990&lt;&gt;"W","",IF(TRIM(C990)&lt;&gt;"",TRIM(C990),IFERROR(LOOKUP(2,1/(N$9:N990="T"),D$9:D990),"")))</f>
        <v/>
      </c>
      <c r="N990" t="str">
        <f t="shared" si="47"/>
        <v/>
      </c>
      <c r="O990" t="str">
        <f>IF(M990="","",IF(COUNTIF(M$9:M990,M990)=1,MAX(O$8:O989)+1,""))</f>
        <v/>
      </c>
    </row>
    <row r="991" spans="1:15" x14ac:dyDescent="0.75">
      <c r="A991" s="24" t="str">
        <f>IF(N991="W",COUNTIF(N$9:N991,"W"),"")</f>
        <v/>
      </c>
      <c r="B991" s="25"/>
      <c r="C991" s="25"/>
      <c r="D991" s="26"/>
      <c r="E991" s="25"/>
      <c r="F991" s="27"/>
      <c r="G991" s="28"/>
      <c r="H991" s="28"/>
      <c r="I991" s="29" t="str">
        <f t="shared" si="45"/>
        <v/>
      </c>
      <c r="J991" s="30" t="str">
        <f t="shared" si="46"/>
        <v/>
      </c>
      <c r="K991" s="26"/>
      <c r="L991" s="24" t="str">
        <f>IF(N991="","",IF(N991="T","Título de capítulo",IF(OR(ISERROR(F991),ISERROR(G991),ISERROR(H991)),"Error en fórmula: pegá como valores",IF(AND(B991="",$C$6=""),"Falta sector",IF(M991="","Falta capítulo",IF(TRIM(E991)="","Falta unidad",IF(NOT((COUNTIF(Listas!$A$2:$A$40,E991)+COUNTIF(Listas!$D$2:$D$60,E991)&gt;0)),"Unidad no reconocida",IF(AND(F991&lt;&gt;"",NOT(ISNUMBER(F991))),"Cantidad no es número",IF(N(F991)&lt;=0,"Falta cantidad",IF(OR(AND(G991&lt;&gt;"",NOT(ISNUMBER(G991))),AND(H991&lt;&gt;"",NOT(ISNUMBER(H991)))),"Precio no es número",IF(N(G991)+N(H991)&lt;=0,"Falta precio","✓ OK")))))))))))</f>
        <v/>
      </c>
      <c r="M991" t="str">
        <f>IF(N991&lt;&gt;"W","",IF(TRIM(C991)&lt;&gt;"",TRIM(C991),IFERROR(LOOKUP(2,1/(N$9:N991="T"),D$9:D991),"")))</f>
        <v/>
      </c>
      <c r="N991" t="str">
        <f t="shared" si="47"/>
        <v/>
      </c>
      <c r="O991" t="str">
        <f>IF(M991="","",IF(COUNTIF(M$9:M991,M991)=1,MAX(O$8:O990)+1,""))</f>
        <v/>
      </c>
    </row>
    <row r="992" spans="1:15" x14ac:dyDescent="0.75">
      <c r="A992" s="24" t="str">
        <f>IF(N992="W",COUNTIF(N$9:N992,"W"),"")</f>
        <v/>
      </c>
      <c r="B992" s="25"/>
      <c r="C992" s="25"/>
      <c r="D992" s="26"/>
      <c r="E992" s="25"/>
      <c r="F992" s="27"/>
      <c r="G992" s="28"/>
      <c r="H992" s="28"/>
      <c r="I992" s="29" t="str">
        <f t="shared" si="45"/>
        <v/>
      </c>
      <c r="J992" s="30" t="str">
        <f t="shared" si="46"/>
        <v/>
      </c>
      <c r="K992" s="26"/>
      <c r="L992" s="24" t="str">
        <f>IF(N992="","",IF(N992="T","Título de capítulo",IF(OR(ISERROR(F992),ISERROR(G992),ISERROR(H992)),"Error en fórmula: pegá como valores",IF(AND(B992="",$C$6=""),"Falta sector",IF(M992="","Falta capítulo",IF(TRIM(E992)="","Falta unidad",IF(NOT((COUNTIF(Listas!$A$2:$A$40,E992)+COUNTIF(Listas!$D$2:$D$60,E992)&gt;0)),"Unidad no reconocida",IF(AND(F992&lt;&gt;"",NOT(ISNUMBER(F992))),"Cantidad no es número",IF(N(F992)&lt;=0,"Falta cantidad",IF(OR(AND(G992&lt;&gt;"",NOT(ISNUMBER(G992))),AND(H992&lt;&gt;"",NOT(ISNUMBER(H992)))),"Precio no es número",IF(N(G992)+N(H992)&lt;=0,"Falta precio","✓ OK")))))))))))</f>
        <v/>
      </c>
      <c r="M992" t="str">
        <f>IF(N992&lt;&gt;"W","",IF(TRIM(C992)&lt;&gt;"",TRIM(C992),IFERROR(LOOKUP(2,1/(N$9:N992="T"),D$9:D992),"")))</f>
        <v/>
      </c>
      <c r="N992" t="str">
        <f t="shared" si="47"/>
        <v/>
      </c>
      <c r="O992" t="str">
        <f>IF(M992="","",IF(COUNTIF(M$9:M992,M992)=1,MAX(O$8:O991)+1,""))</f>
        <v/>
      </c>
    </row>
    <row r="993" spans="1:15" x14ac:dyDescent="0.75">
      <c r="A993" s="24" t="str">
        <f>IF(N993="W",COUNTIF(N$9:N993,"W"),"")</f>
        <v/>
      </c>
      <c r="B993" s="25"/>
      <c r="C993" s="25"/>
      <c r="D993" s="26"/>
      <c r="E993" s="25"/>
      <c r="F993" s="27"/>
      <c r="G993" s="28"/>
      <c r="H993" s="28"/>
      <c r="I993" s="29" t="str">
        <f t="shared" si="45"/>
        <v/>
      </c>
      <c r="J993" s="30" t="str">
        <f t="shared" si="46"/>
        <v/>
      </c>
      <c r="K993" s="26"/>
      <c r="L993" s="24" t="str">
        <f>IF(N993="","",IF(N993="T","Título de capítulo",IF(OR(ISERROR(F993),ISERROR(G993),ISERROR(H993)),"Error en fórmula: pegá como valores",IF(AND(B993="",$C$6=""),"Falta sector",IF(M993="","Falta capítulo",IF(TRIM(E993)="","Falta unidad",IF(NOT((COUNTIF(Listas!$A$2:$A$40,E993)+COUNTIF(Listas!$D$2:$D$60,E993)&gt;0)),"Unidad no reconocida",IF(AND(F993&lt;&gt;"",NOT(ISNUMBER(F993))),"Cantidad no es número",IF(N(F993)&lt;=0,"Falta cantidad",IF(OR(AND(G993&lt;&gt;"",NOT(ISNUMBER(G993))),AND(H993&lt;&gt;"",NOT(ISNUMBER(H993)))),"Precio no es número",IF(N(G993)+N(H993)&lt;=0,"Falta precio","✓ OK")))))))))))</f>
        <v/>
      </c>
      <c r="M993" t="str">
        <f>IF(N993&lt;&gt;"W","",IF(TRIM(C993)&lt;&gt;"",TRIM(C993),IFERROR(LOOKUP(2,1/(N$9:N993="T"),D$9:D993),"")))</f>
        <v/>
      </c>
      <c r="N993" t="str">
        <f t="shared" si="47"/>
        <v/>
      </c>
      <c r="O993" t="str">
        <f>IF(M993="","",IF(COUNTIF(M$9:M993,M993)=1,MAX(O$8:O992)+1,""))</f>
        <v/>
      </c>
    </row>
    <row r="994" spans="1:15" x14ac:dyDescent="0.75">
      <c r="A994" s="24" t="str">
        <f>IF(N994="W",COUNTIF(N$9:N994,"W"),"")</f>
        <v/>
      </c>
      <c r="B994" s="25"/>
      <c r="C994" s="25"/>
      <c r="D994" s="26"/>
      <c r="E994" s="25"/>
      <c r="F994" s="27"/>
      <c r="G994" s="28"/>
      <c r="H994" s="28"/>
      <c r="I994" s="29" t="str">
        <f t="shared" si="45"/>
        <v/>
      </c>
      <c r="J994" s="30" t="str">
        <f t="shared" si="46"/>
        <v/>
      </c>
      <c r="K994" s="26"/>
      <c r="L994" s="24" t="str">
        <f>IF(N994="","",IF(N994="T","Título de capítulo",IF(OR(ISERROR(F994),ISERROR(G994),ISERROR(H994)),"Error en fórmula: pegá como valores",IF(AND(B994="",$C$6=""),"Falta sector",IF(M994="","Falta capítulo",IF(TRIM(E994)="","Falta unidad",IF(NOT((COUNTIF(Listas!$A$2:$A$40,E994)+COUNTIF(Listas!$D$2:$D$60,E994)&gt;0)),"Unidad no reconocida",IF(AND(F994&lt;&gt;"",NOT(ISNUMBER(F994))),"Cantidad no es número",IF(N(F994)&lt;=0,"Falta cantidad",IF(OR(AND(G994&lt;&gt;"",NOT(ISNUMBER(G994))),AND(H994&lt;&gt;"",NOT(ISNUMBER(H994)))),"Precio no es número",IF(N(G994)+N(H994)&lt;=0,"Falta precio","✓ OK")))))))))))</f>
        <v/>
      </c>
      <c r="M994" t="str">
        <f>IF(N994&lt;&gt;"W","",IF(TRIM(C994)&lt;&gt;"",TRIM(C994),IFERROR(LOOKUP(2,1/(N$9:N994="T"),D$9:D994),"")))</f>
        <v/>
      </c>
      <c r="N994" t="str">
        <f t="shared" si="47"/>
        <v/>
      </c>
      <c r="O994" t="str">
        <f>IF(M994="","",IF(COUNTIF(M$9:M994,M994)=1,MAX(O$8:O993)+1,""))</f>
        <v/>
      </c>
    </row>
    <row r="995" spans="1:15" x14ac:dyDescent="0.75">
      <c r="A995" s="24" t="str">
        <f>IF(N995="W",COUNTIF(N$9:N995,"W"),"")</f>
        <v/>
      </c>
      <c r="B995" s="25"/>
      <c r="C995" s="25"/>
      <c r="D995" s="26"/>
      <c r="E995" s="25"/>
      <c r="F995" s="27"/>
      <c r="G995" s="28"/>
      <c r="H995" s="28"/>
      <c r="I995" s="29" t="str">
        <f t="shared" si="45"/>
        <v/>
      </c>
      <c r="J995" s="30" t="str">
        <f t="shared" si="46"/>
        <v/>
      </c>
      <c r="K995" s="26"/>
      <c r="L995" s="24" t="str">
        <f>IF(N995="","",IF(N995="T","Título de capítulo",IF(OR(ISERROR(F995),ISERROR(G995),ISERROR(H995)),"Error en fórmula: pegá como valores",IF(AND(B995="",$C$6=""),"Falta sector",IF(M995="","Falta capítulo",IF(TRIM(E995)="","Falta unidad",IF(NOT((COUNTIF(Listas!$A$2:$A$40,E995)+COUNTIF(Listas!$D$2:$D$60,E995)&gt;0)),"Unidad no reconocida",IF(AND(F995&lt;&gt;"",NOT(ISNUMBER(F995))),"Cantidad no es número",IF(N(F995)&lt;=0,"Falta cantidad",IF(OR(AND(G995&lt;&gt;"",NOT(ISNUMBER(G995))),AND(H995&lt;&gt;"",NOT(ISNUMBER(H995)))),"Precio no es número",IF(N(G995)+N(H995)&lt;=0,"Falta precio","✓ OK")))))))))))</f>
        <v/>
      </c>
      <c r="M995" t="str">
        <f>IF(N995&lt;&gt;"W","",IF(TRIM(C995)&lt;&gt;"",TRIM(C995),IFERROR(LOOKUP(2,1/(N$9:N995="T"),D$9:D995),"")))</f>
        <v/>
      </c>
      <c r="N995" t="str">
        <f t="shared" si="47"/>
        <v/>
      </c>
      <c r="O995" t="str">
        <f>IF(M995="","",IF(COUNTIF(M$9:M995,M995)=1,MAX(O$8:O994)+1,""))</f>
        <v/>
      </c>
    </row>
    <row r="996" spans="1:15" x14ac:dyDescent="0.75">
      <c r="A996" s="24" t="str">
        <f>IF(N996="W",COUNTIF(N$9:N996,"W"),"")</f>
        <v/>
      </c>
      <c r="B996" s="25"/>
      <c r="C996" s="25"/>
      <c r="D996" s="26"/>
      <c r="E996" s="25"/>
      <c r="F996" s="27"/>
      <c r="G996" s="28"/>
      <c r="H996" s="28"/>
      <c r="I996" s="29" t="str">
        <f t="shared" si="45"/>
        <v/>
      </c>
      <c r="J996" s="30" t="str">
        <f t="shared" si="46"/>
        <v/>
      </c>
      <c r="K996" s="26"/>
      <c r="L996" s="24" t="str">
        <f>IF(N996="","",IF(N996="T","Título de capítulo",IF(OR(ISERROR(F996),ISERROR(G996),ISERROR(H996)),"Error en fórmula: pegá como valores",IF(AND(B996="",$C$6=""),"Falta sector",IF(M996="","Falta capítulo",IF(TRIM(E996)="","Falta unidad",IF(NOT((COUNTIF(Listas!$A$2:$A$40,E996)+COUNTIF(Listas!$D$2:$D$60,E996)&gt;0)),"Unidad no reconocida",IF(AND(F996&lt;&gt;"",NOT(ISNUMBER(F996))),"Cantidad no es número",IF(N(F996)&lt;=0,"Falta cantidad",IF(OR(AND(G996&lt;&gt;"",NOT(ISNUMBER(G996))),AND(H996&lt;&gt;"",NOT(ISNUMBER(H996)))),"Precio no es número",IF(N(G996)+N(H996)&lt;=0,"Falta precio","✓ OK")))))))))))</f>
        <v/>
      </c>
      <c r="M996" t="str">
        <f>IF(N996&lt;&gt;"W","",IF(TRIM(C996)&lt;&gt;"",TRIM(C996),IFERROR(LOOKUP(2,1/(N$9:N996="T"),D$9:D996),"")))</f>
        <v/>
      </c>
      <c r="N996" t="str">
        <f t="shared" si="47"/>
        <v/>
      </c>
      <c r="O996" t="str">
        <f>IF(M996="","",IF(COUNTIF(M$9:M996,M996)=1,MAX(O$8:O995)+1,""))</f>
        <v/>
      </c>
    </row>
    <row r="997" spans="1:15" x14ac:dyDescent="0.75">
      <c r="A997" s="24" t="str">
        <f>IF(N997="W",COUNTIF(N$9:N997,"W"),"")</f>
        <v/>
      </c>
      <c r="B997" s="25"/>
      <c r="C997" s="25"/>
      <c r="D997" s="26"/>
      <c r="E997" s="25"/>
      <c r="F997" s="27"/>
      <c r="G997" s="28"/>
      <c r="H997" s="28"/>
      <c r="I997" s="29" t="str">
        <f t="shared" si="45"/>
        <v/>
      </c>
      <c r="J997" s="30" t="str">
        <f t="shared" si="46"/>
        <v/>
      </c>
      <c r="K997" s="26"/>
      <c r="L997" s="24" t="str">
        <f>IF(N997="","",IF(N997="T","Título de capítulo",IF(OR(ISERROR(F997),ISERROR(G997),ISERROR(H997)),"Error en fórmula: pegá como valores",IF(AND(B997="",$C$6=""),"Falta sector",IF(M997="","Falta capítulo",IF(TRIM(E997)="","Falta unidad",IF(NOT((COUNTIF(Listas!$A$2:$A$40,E997)+COUNTIF(Listas!$D$2:$D$60,E997)&gt;0)),"Unidad no reconocida",IF(AND(F997&lt;&gt;"",NOT(ISNUMBER(F997))),"Cantidad no es número",IF(N(F997)&lt;=0,"Falta cantidad",IF(OR(AND(G997&lt;&gt;"",NOT(ISNUMBER(G997))),AND(H997&lt;&gt;"",NOT(ISNUMBER(H997)))),"Precio no es número",IF(N(G997)+N(H997)&lt;=0,"Falta precio","✓ OK")))))))))))</f>
        <v/>
      </c>
      <c r="M997" t="str">
        <f>IF(N997&lt;&gt;"W","",IF(TRIM(C997)&lt;&gt;"",TRIM(C997),IFERROR(LOOKUP(2,1/(N$9:N997="T"),D$9:D997),"")))</f>
        <v/>
      </c>
      <c r="N997" t="str">
        <f t="shared" si="47"/>
        <v/>
      </c>
      <c r="O997" t="str">
        <f>IF(M997="","",IF(COUNTIF(M$9:M997,M997)=1,MAX(O$8:O996)+1,""))</f>
        <v/>
      </c>
    </row>
    <row r="998" spans="1:15" x14ac:dyDescent="0.75">
      <c r="A998" s="24" t="str">
        <f>IF(N998="W",COUNTIF(N$9:N998,"W"),"")</f>
        <v/>
      </c>
      <c r="B998" s="25"/>
      <c r="C998" s="25"/>
      <c r="D998" s="26"/>
      <c r="E998" s="25"/>
      <c r="F998" s="27"/>
      <c r="G998" s="28"/>
      <c r="H998" s="28"/>
      <c r="I998" s="29" t="str">
        <f t="shared" si="45"/>
        <v/>
      </c>
      <c r="J998" s="30" t="str">
        <f t="shared" si="46"/>
        <v/>
      </c>
      <c r="K998" s="26"/>
      <c r="L998" s="24" t="str">
        <f>IF(N998="","",IF(N998="T","Título de capítulo",IF(OR(ISERROR(F998),ISERROR(G998),ISERROR(H998)),"Error en fórmula: pegá como valores",IF(AND(B998="",$C$6=""),"Falta sector",IF(M998="","Falta capítulo",IF(TRIM(E998)="","Falta unidad",IF(NOT((COUNTIF(Listas!$A$2:$A$40,E998)+COUNTIF(Listas!$D$2:$D$60,E998)&gt;0)),"Unidad no reconocida",IF(AND(F998&lt;&gt;"",NOT(ISNUMBER(F998))),"Cantidad no es número",IF(N(F998)&lt;=0,"Falta cantidad",IF(OR(AND(G998&lt;&gt;"",NOT(ISNUMBER(G998))),AND(H998&lt;&gt;"",NOT(ISNUMBER(H998)))),"Precio no es número",IF(N(G998)+N(H998)&lt;=0,"Falta precio","✓ OK")))))))))))</f>
        <v/>
      </c>
      <c r="M998" t="str">
        <f>IF(N998&lt;&gt;"W","",IF(TRIM(C998)&lt;&gt;"",TRIM(C998),IFERROR(LOOKUP(2,1/(N$9:N998="T"),D$9:D998),"")))</f>
        <v/>
      </c>
      <c r="N998" t="str">
        <f t="shared" si="47"/>
        <v/>
      </c>
      <c r="O998" t="str">
        <f>IF(M998="","",IF(COUNTIF(M$9:M998,M998)=1,MAX(O$8:O997)+1,""))</f>
        <v/>
      </c>
    </row>
    <row r="999" spans="1:15" x14ac:dyDescent="0.75">
      <c r="A999" s="24" t="str">
        <f>IF(N999="W",COUNTIF(N$9:N999,"W"),"")</f>
        <v/>
      </c>
      <c r="B999" s="25"/>
      <c r="C999" s="25"/>
      <c r="D999" s="26"/>
      <c r="E999" s="25"/>
      <c r="F999" s="27"/>
      <c r="G999" s="28"/>
      <c r="H999" s="28"/>
      <c r="I999" s="29" t="str">
        <f t="shared" si="45"/>
        <v/>
      </c>
      <c r="J999" s="30" t="str">
        <f t="shared" si="46"/>
        <v/>
      </c>
      <c r="K999" s="26"/>
      <c r="L999" s="24" t="str">
        <f>IF(N999="","",IF(N999="T","Título de capítulo",IF(OR(ISERROR(F999),ISERROR(G999),ISERROR(H999)),"Error en fórmula: pegá como valores",IF(AND(B999="",$C$6=""),"Falta sector",IF(M999="","Falta capítulo",IF(TRIM(E999)="","Falta unidad",IF(NOT((COUNTIF(Listas!$A$2:$A$40,E999)+COUNTIF(Listas!$D$2:$D$60,E999)&gt;0)),"Unidad no reconocida",IF(AND(F999&lt;&gt;"",NOT(ISNUMBER(F999))),"Cantidad no es número",IF(N(F999)&lt;=0,"Falta cantidad",IF(OR(AND(G999&lt;&gt;"",NOT(ISNUMBER(G999))),AND(H999&lt;&gt;"",NOT(ISNUMBER(H999)))),"Precio no es número",IF(N(G999)+N(H999)&lt;=0,"Falta precio","✓ OK")))))))))))</f>
        <v/>
      </c>
      <c r="M999" t="str">
        <f>IF(N999&lt;&gt;"W","",IF(TRIM(C999)&lt;&gt;"",TRIM(C999),IFERROR(LOOKUP(2,1/(N$9:N999="T"),D$9:D999),"")))</f>
        <v/>
      </c>
      <c r="N999" t="str">
        <f t="shared" si="47"/>
        <v/>
      </c>
      <c r="O999" t="str">
        <f>IF(M999="","",IF(COUNTIF(M$9:M999,M999)=1,MAX(O$8:O998)+1,""))</f>
        <v/>
      </c>
    </row>
    <row r="1000" spans="1:15" x14ac:dyDescent="0.75">
      <c r="A1000" s="24" t="str">
        <f>IF(N1000="W",COUNTIF(N$9:N1000,"W"),"")</f>
        <v/>
      </c>
      <c r="B1000" s="25"/>
      <c r="C1000" s="25"/>
      <c r="D1000" s="26"/>
      <c r="E1000" s="25"/>
      <c r="F1000" s="27"/>
      <c r="G1000" s="28"/>
      <c r="H1000" s="28"/>
      <c r="I1000" s="29" t="str">
        <f t="shared" si="45"/>
        <v/>
      </c>
      <c r="J1000" s="30" t="str">
        <f t="shared" si="46"/>
        <v/>
      </c>
      <c r="K1000" s="26"/>
      <c r="L1000" s="24" t="str">
        <f>IF(N1000="","",IF(N1000="T","Título de capítulo",IF(OR(ISERROR(F1000),ISERROR(G1000),ISERROR(H1000)),"Error en fórmula: pegá como valores",IF(AND(B1000="",$C$6=""),"Falta sector",IF(M1000="","Falta capítulo",IF(TRIM(E1000)="","Falta unidad",IF(NOT((COUNTIF(Listas!$A$2:$A$40,E1000)+COUNTIF(Listas!$D$2:$D$60,E1000)&gt;0)),"Unidad no reconocida",IF(AND(F1000&lt;&gt;"",NOT(ISNUMBER(F1000))),"Cantidad no es número",IF(N(F1000)&lt;=0,"Falta cantidad",IF(OR(AND(G1000&lt;&gt;"",NOT(ISNUMBER(G1000))),AND(H1000&lt;&gt;"",NOT(ISNUMBER(H1000)))),"Precio no es número",IF(N(G1000)+N(H1000)&lt;=0,"Falta precio","✓ OK")))))))))))</f>
        <v/>
      </c>
      <c r="M1000" t="str">
        <f>IF(N1000&lt;&gt;"W","",IF(TRIM(C1000)&lt;&gt;"",TRIM(C1000),IFERROR(LOOKUP(2,1/(N$9:N1000="T"),D$9:D1000),"")))</f>
        <v/>
      </c>
      <c r="N1000" t="str">
        <f t="shared" si="47"/>
        <v/>
      </c>
      <c r="O1000" t="str">
        <f>IF(M1000="","",IF(COUNTIF(M$9:M1000,M1000)=1,MAX(O$8:O999)+1,""))</f>
        <v/>
      </c>
    </row>
    <row r="1001" spans="1:15" x14ac:dyDescent="0.75">
      <c r="A1001" s="24" t="str">
        <f>IF(N1001="W",COUNTIF(N$9:N1001,"W"),"")</f>
        <v/>
      </c>
      <c r="B1001" s="25"/>
      <c r="C1001" s="25"/>
      <c r="D1001" s="26"/>
      <c r="E1001" s="25"/>
      <c r="F1001" s="27"/>
      <c r="G1001" s="28"/>
      <c r="H1001" s="28"/>
      <c r="I1001" s="29" t="str">
        <f t="shared" si="45"/>
        <v/>
      </c>
      <c r="J1001" s="30" t="str">
        <f t="shared" si="46"/>
        <v/>
      </c>
      <c r="K1001" s="26"/>
      <c r="L1001" s="24" t="str">
        <f>IF(N1001="","",IF(N1001="T","Título de capítulo",IF(OR(ISERROR(F1001),ISERROR(G1001),ISERROR(H1001)),"Error en fórmula: pegá como valores",IF(AND(B1001="",$C$6=""),"Falta sector",IF(M1001="","Falta capítulo",IF(TRIM(E1001)="","Falta unidad",IF(NOT((COUNTIF(Listas!$A$2:$A$40,E1001)+COUNTIF(Listas!$D$2:$D$60,E1001)&gt;0)),"Unidad no reconocida",IF(AND(F1001&lt;&gt;"",NOT(ISNUMBER(F1001))),"Cantidad no es número",IF(N(F1001)&lt;=0,"Falta cantidad",IF(OR(AND(G1001&lt;&gt;"",NOT(ISNUMBER(G1001))),AND(H1001&lt;&gt;"",NOT(ISNUMBER(H1001)))),"Precio no es número",IF(N(G1001)+N(H1001)&lt;=0,"Falta precio","✓ OK")))))))))))</f>
        <v/>
      </c>
      <c r="M1001" t="str">
        <f>IF(N1001&lt;&gt;"W","",IF(TRIM(C1001)&lt;&gt;"",TRIM(C1001),IFERROR(LOOKUP(2,1/(N$9:N1001="T"),D$9:D1001),"")))</f>
        <v/>
      </c>
      <c r="N1001" t="str">
        <f t="shared" si="47"/>
        <v/>
      </c>
      <c r="O1001" t="str">
        <f>IF(M1001="","",IF(COUNTIF(M$9:M1001,M1001)=1,MAX(O$8:O1000)+1,""))</f>
        <v/>
      </c>
    </row>
    <row r="1002" spans="1:15" x14ac:dyDescent="0.75">
      <c r="A1002" s="24" t="str">
        <f>IF(N1002="W",COUNTIF(N$9:N1002,"W"),"")</f>
        <v/>
      </c>
      <c r="B1002" s="25"/>
      <c r="C1002" s="25"/>
      <c r="D1002" s="26"/>
      <c r="E1002" s="25"/>
      <c r="F1002" s="27"/>
      <c r="G1002" s="28"/>
      <c r="H1002" s="28"/>
      <c r="I1002" s="29" t="str">
        <f t="shared" si="45"/>
        <v/>
      </c>
      <c r="J1002" s="30" t="str">
        <f t="shared" si="46"/>
        <v/>
      </c>
      <c r="K1002" s="26"/>
      <c r="L1002" s="24" t="str">
        <f>IF(N1002="","",IF(N1002="T","Título de capítulo",IF(OR(ISERROR(F1002),ISERROR(G1002),ISERROR(H1002)),"Error en fórmula: pegá como valores",IF(AND(B1002="",$C$6=""),"Falta sector",IF(M1002="","Falta capítulo",IF(TRIM(E1002)="","Falta unidad",IF(NOT((COUNTIF(Listas!$A$2:$A$40,E1002)+COUNTIF(Listas!$D$2:$D$60,E1002)&gt;0)),"Unidad no reconocida",IF(AND(F1002&lt;&gt;"",NOT(ISNUMBER(F1002))),"Cantidad no es número",IF(N(F1002)&lt;=0,"Falta cantidad",IF(OR(AND(G1002&lt;&gt;"",NOT(ISNUMBER(G1002))),AND(H1002&lt;&gt;"",NOT(ISNUMBER(H1002)))),"Precio no es número",IF(N(G1002)+N(H1002)&lt;=0,"Falta precio","✓ OK")))))))))))</f>
        <v/>
      </c>
      <c r="M1002" t="str">
        <f>IF(N1002&lt;&gt;"W","",IF(TRIM(C1002)&lt;&gt;"",TRIM(C1002),IFERROR(LOOKUP(2,1/(N$9:N1002="T"),D$9:D1002),"")))</f>
        <v/>
      </c>
      <c r="N1002" t="str">
        <f t="shared" si="47"/>
        <v/>
      </c>
      <c r="O1002" t="str">
        <f>IF(M1002="","",IF(COUNTIF(M$9:M1002,M1002)=1,MAX(O$8:O1001)+1,""))</f>
        <v/>
      </c>
    </row>
    <row r="1003" spans="1:15" x14ac:dyDescent="0.75">
      <c r="A1003" s="24" t="str">
        <f>IF(N1003="W",COUNTIF(N$9:N1003,"W"),"")</f>
        <v/>
      </c>
      <c r="B1003" s="25"/>
      <c r="C1003" s="25"/>
      <c r="D1003" s="26"/>
      <c r="E1003" s="25"/>
      <c r="F1003" s="27"/>
      <c r="G1003" s="28"/>
      <c r="H1003" s="28"/>
      <c r="I1003" s="29" t="str">
        <f t="shared" si="45"/>
        <v/>
      </c>
      <c r="J1003" s="30" t="str">
        <f t="shared" si="46"/>
        <v/>
      </c>
      <c r="K1003" s="26"/>
      <c r="L1003" s="24" t="str">
        <f>IF(N1003="","",IF(N1003="T","Título de capítulo",IF(OR(ISERROR(F1003),ISERROR(G1003),ISERROR(H1003)),"Error en fórmula: pegá como valores",IF(AND(B1003="",$C$6=""),"Falta sector",IF(M1003="","Falta capítulo",IF(TRIM(E1003)="","Falta unidad",IF(NOT((COUNTIF(Listas!$A$2:$A$40,E1003)+COUNTIF(Listas!$D$2:$D$60,E1003)&gt;0)),"Unidad no reconocida",IF(AND(F1003&lt;&gt;"",NOT(ISNUMBER(F1003))),"Cantidad no es número",IF(N(F1003)&lt;=0,"Falta cantidad",IF(OR(AND(G1003&lt;&gt;"",NOT(ISNUMBER(G1003))),AND(H1003&lt;&gt;"",NOT(ISNUMBER(H1003)))),"Precio no es número",IF(N(G1003)+N(H1003)&lt;=0,"Falta precio","✓ OK")))))))))))</f>
        <v/>
      </c>
      <c r="M1003" t="str">
        <f>IF(N1003&lt;&gt;"W","",IF(TRIM(C1003)&lt;&gt;"",TRIM(C1003),IFERROR(LOOKUP(2,1/(N$9:N1003="T"),D$9:D1003),"")))</f>
        <v/>
      </c>
      <c r="N1003" t="str">
        <f t="shared" si="47"/>
        <v/>
      </c>
      <c r="O1003" t="str">
        <f>IF(M1003="","",IF(COUNTIF(M$9:M1003,M1003)=1,MAX(O$8:O1002)+1,""))</f>
        <v/>
      </c>
    </row>
    <row r="1004" spans="1:15" x14ac:dyDescent="0.75">
      <c r="A1004" s="24" t="str">
        <f>IF(N1004="W",COUNTIF(N$9:N1004,"W"),"")</f>
        <v/>
      </c>
      <c r="B1004" s="25"/>
      <c r="C1004" s="25"/>
      <c r="D1004" s="26"/>
      <c r="E1004" s="25"/>
      <c r="F1004" s="27"/>
      <c r="G1004" s="28"/>
      <c r="H1004" s="28"/>
      <c r="I1004" s="29" t="str">
        <f t="shared" si="45"/>
        <v/>
      </c>
      <c r="J1004" s="30" t="str">
        <f t="shared" si="46"/>
        <v/>
      </c>
      <c r="K1004" s="26"/>
      <c r="L1004" s="24" t="str">
        <f>IF(N1004="","",IF(N1004="T","Título de capítulo",IF(OR(ISERROR(F1004),ISERROR(G1004),ISERROR(H1004)),"Error en fórmula: pegá como valores",IF(AND(B1004="",$C$6=""),"Falta sector",IF(M1004="","Falta capítulo",IF(TRIM(E1004)="","Falta unidad",IF(NOT((COUNTIF(Listas!$A$2:$A$40,E1004)+COUNTIF(Listas!$D$2:$D$60,E1004)&gt;0)),"Unidad no reconocida",IF(AND(F1004&lt;&gt;"",NOT(ISNUMBER(F1004))),"Cantidad no es número",IF(N(F1004)&lt;=0,"Falta cantidad",IF(OR(AND(G1004&lt;&gt;"",NOT(ISNUMBER(G1004))),AND(H1004&lt;&gt;"",NOT(ISNUMBER(H1004)))),"Precio no es número",IF(N(G1004)+N(H1004)&lt;=0,"Falta precio","✓ OK")))))))))))</f>
        <v/>
      </c>
      <c r="M1004" t="str">
        <f>IF(N1004&lt;&gt;"W","",IF(TRIM(C1004)&lt;&gt;"",TRIM(C1004),IFERROR(LOOKUP(2,1/(N$9:N1004="T"),D$9:D1004),"")))</f>
        <v/>
      </c>
      <c r="N1004" t="str">
        <f t="shared" si="47"/>
        <v/>
      </c>
      <c r="O1004" t="str">
        <f>IF(M1004="","",IF(COUNTIF(M$9:M1004,M1004)=1,MAX(O$8:O1003)+1,""))</f>
        <v/>
      </c>
    </row>
    <row r="1005" spans="1:15" x14ac:dyDescent="0.75">
      <c r="A1005" s="24" t="str">
        <f>IF(N1005="W",COUNTIF(N$9:N1005,"W"),"")</f>
        <v/>
      </c>
      <c r="B1005" s="25"/>
      <c r="C1005" s="25"/>
      <c r="D1005" s="26"/>
      <c r="E1005" s="25"/>
      <c r="F1005" s="27"/>
      <c r="G1005" s="28"/>
      <c r="H1005" s="28"/>
      <c r="I1005" s="29" t="str">
        <f t="shared" si="45"/>
        <v/>
      </c>
      <c r="J1005" s="30" t="str">
        <f t="shared" si="46"/>
        <v/>
      </c>
      <c r="K1005" s="26"/>
      <c r="L1005" s="24" t="str">
        <f>IF(N1005="","",IF(N1005="T","Título de capítulo",IF(OR(ISERROR(F1005),ISERROR(G1005),ISERROR(H1005)),"Error en fórmula: pegá como valores",IF(AND(B1005="",$C$6=""),"Falta sector",IF(M1005="","Falta capítulo",IF(TRIM(E1005)="","Falta unidad",IF(NOT((COUNTIF(Listas!$A$2:$A$40,E1005)+COUNTIF(Listas!$D$2:$D$60,E1005)&gt;0)),"Unidad no reconocida",IF(AND(F1005&lt;&gt;"",NOT(ISNUMBER(F1005))),"Cantidad no es número",IF(N(F1005)&lt;=0,"Falta cantidad",IF(OR(AND(G1005&lt;&gt;"",NOT(ISNUMBER(G1005))),AND(H1005&lt;&gt;"",NOT(ISNUMBER(H1005)))),"Precio no es número",IF(N(G1005)+N(H1005)&lt;=0,"Falta precio","✓ OK")))))))))))</f>
        <v/>
      </c>
      <c r="M1005" t="str">
        <f>IF(N1005&lt;&gt;"W","",IF(TRIM(C1005)&lt;&gt;"",TRIM(C1005),IFERROR(LOOKUP(2,1/(N$9:N1005="T"),D$9:D1005),"")))</f>
        <v/>
      </c>
      <c r="N1005" t="str">
        <f t="shared" si="47"/>
        <v/>
      </c>
      <c r="O1005" t="str">
        <f>IF(M1005="","",IF(COUNTIF(M$9:M1005,M1005)=1,MAX(O$8:O1004)+1,""))</f>
        <v/>
      </c>
    </row>
    <row r="1006" spans="1:15" x14ac:dyDescent="0.75">
      <c r="A1006" s="24" t="str">
        <f>IF(N1006="W",COUNTIF(N$9:N1006,"W"),"")</f>
        <v/>
      </c>
      <c r="B1006" s="25"/>
      <c r="C1006" s="25"/>
      <c r="D1006" s="26"/>
      <c r="E1006" s="25"/>
      <c r="F1006" s="27"/>
      <c r="G1006" s="28"/>
      <c r="H1006" s="28"/>
      <c r="I1006" s="29" t="str">
        <f t="shared" si="45"/>
        <v/>
      </c>
      <c r="J1006" s="30" t="str">
        <f t="shared" si="46"/>
        <v/>
      </c>
      <c r="K1006" s="26"/>
      <c r="L1006" s="24" t="str">
        <f>IF(N1006="","",IF(N1006="T","Título de capítulo",IF(OR(ISERROR(F1006),ISERROR(G1006),ISERROR(H1006)),"Error en fórmula: pegá como valores",IF(AND(B1006="",$C$6=""),"Falta sector",IF(M1006="","Falta capítulo",IF(TRIM(E1006)="","Falta unidad",IF(NOT((COUNTIF(Listas!$A$2:$A$40,E1006)+COUNTIF(Listas!$D$2:$D$60,E1006)&gt;0)),"Unidad no reconocida",IF(AND(F1006&lt;&gt;"",NOT(ISNUMBER(F1006))),"Cantidad no es número",IF(N(F1006)&lt;=0,"Falta cantidad",IF(OR(AND(G1006&lt;&gt;"",NOT(ISNUMBER(G1006))),AND(H1006&lt;&gt;"",NOT(ISNUMBER(H1006)))),"Precio no es número",IF(N(G1006)+N(H1006)&lt;=0,"Falta precio","✓ OK")))))))))))</f>
        <v/>
      </c>
      <c r="M1006" t="str">
        <f>IF(N1006&lt;&gt;"W","",IF(TRIM(C1006)&lt;&gt;"",TRIM(C1006),IFERROR(LOOKUP(2,1/(N$9:N1006="T"),D$9:D1006),"")))</f>
        <v/>
      </c>
      <c r="N1006" t="str">
        <f t="shared" si="47"/>
        <v/>
      </c>
      <c r="O1006" t="str">
        <f>IF(M1006="","",IF(COUNTIF(M$9:M1006,M1006)=1,MAX(O$8:O1005)+1,""))</f>
        <v/>
      </c>
    </row>
    <row r="1007" spans="1:15" x14ac:dyDescent="0.75">
      <c r="A1007" s="24" t="str">
        <f>IF(N1007="W",COUNTIF(N$9:N1007,"W"),"")</f>
        <v/>
      </c>
      <c r="B1007" s="25"/>
      <c r="C1007" s="25"/>
      <c r="D1007" s="26"/>
      <c r="E1007" s="25"/>
      <c r="F1007" s="27"/>
      <c r="G1007" s="28"/>
      <c r="H1007" s="28"/>
      <c r="I1007" s="29" t="str">
        <f t="shared" si="45"/>
        <v/>
      </c>
      <c r="J1007" s="30" t="str">
        <f t="shared" si="46"/>
        <v/>
      </c>
      <c r="K1007" s="26"/>
      <c r="L1007" s="24" t="str">
        <f>IF(N1007="","",IF(N1007="T","Título de capítulo",IF(OR(ISERROR(F1007),ISERROR(G1007),ISERROR(H1007)),"Error en fórmula: pegá como valores",IF(AND(B1007="",$C$6=""),"Falta sector",IF(M1007="","Falta capítulo",IF(TRIM(E1007)="","Falta unidad",IF(NOT((COUNTIF(Listas!$A$2:$A$40,E1007)+COUNTIF(Listas!$D$2:$D$60,E1007)&gt;0)),"Unidad no reconocida",IF(AND(F1007&lt;&gt;"",NOT(ISNUMBER(F1007))),"Cantidad no es número",IF(N(F1007)&lt;=0,"Falta cantidad",IF(OR(AND(G1007&lt;&gt;"",NOT(ISNUMBER(G1007))),AND(H1007&lt;&gt;"",NOT(ISNUMBER(H1007)))),"Precio no es número",IF(N(G1007)+N(H1007)&lt;=0,"Falta precio","✓ OK")))))))))))</f>
        <v/>
      </c>
      <c r="M1007" t="str">
        <f>IF(N1007&lt;&gt;"W","",IF(TRIM(C1007)&lt;&gt;"",TRIM(C1007),IFERROR(LOOKUP(2,1/(N$9:N1007="T"),D$9:D1007),"")))</f>
        <v/>
      </c>
      <c r="N1007" t="str">
        <f t="shared" si="47"/>
        <v/>
      </c>
      <c r="O1007" t="str">
        <f>IF(M1007="","",IF(COUNTIF(M$9:M1007,M1007)=1,MAX(O$8:O1006)+1,""))</f>
        <v/>
      </c>
    </row>
    <row r="1008" spans="1:15" x14ac:dyDescent="0.75">
      <c r="A1008" s="24" t="str">
        <f>IF(N1008="W",COUNTIF(N$9:N1008,"W"),"")</f>
        <v/>
      </c>
      <c r="B1008" s="25"/>
      <c r="C1008" s="25"/>
      <c r="D1008" s="26"/>
      <c r="E1008" s="25"/>
      <c r="F1008" s="27"/>
      <c r="G1008" s="28"/>
      <c r="H1008" s="28"/>
      <c r="I1008" s="29" t="str">
        <f t="shared" si="45"/>
        <v/>
      </c>
      <c r="J1008" s="30" t="str">
        <f t="shared" si="46"/>
        <v/>
      </c>
      <c r="K1008" s="26"/>
      <c r="L1008" s="24" t="str">
        <f>IF(N1008="","",IF(N1008="T","Título de capítulo",IF(OR(ISERROR(F1008),ISERROR(G1008),ISERROR(H1008)),"Error en fórmula: pegá como valores",IF(AND(B1008="",$C$6=""),"Falta sector",IF(M1008="","Falta capítulo",IF(TRIM(E1008)="","Falta unidad",IF(NOT((COUNTIF(Listas!$A$2:$A$40,E1008)+COUNTIF(Listas!$D$2:$D$60,E1008)&gt;0)),"Unidad no reconocida",IF(AND(F1008&lt;&gt;"",NOT(ISNUMBER(F1008))),"Cantidad no es número",IF(N(F1008)&lt;=0,"Falta cantidad",IF(OR(AND(G1008&lt;&gt;"",NOT(ISNUMBER(G1008))),AND(H1008&lt;&gt;"",NOT(ISNUMBER(H1008)))),"Precio no es número",IF(N(G1008)+N(H1008)&lt;=0,"Falta precio","✓ OK")))))))))))</f>
        <v/>
      </c>
      <c r="M1008" t="str">
        <f>IF(N1008&lt;&gt;"W","",IF(TRIM(C1008)&lt;&gt;"",TRIM(C1008),IFERROR(LOOKUP(2,1/(N$9:N1008="T"),D$9:D1008),"")))</f>
        <v/>
      </c>
      <c r="N1008" t="str">
        <f t="shared" si="47"/>
        <v/>
      </c>
      <c r="O1008" t="str">
        <f>IF(M1008="","",IF(COUNTIF(M$9:M1008,M1008)=1,MAX(O$8:O1007)+1,""))</f>
        <v/>
      </c>
    </row>
  </sheetData>
  <sheetProtection sheet="1" formatCells="0" formatColumns="0" formatRows="0" sort="0" autoFilter="0"/>
  <autoFilter ref="A8:L1008" xr:uid="{00000000-0009-0000-0000-000001000000}"/>
  <mergeCells count="5">
    <mergeCell ref="C4:F4"/>
    <mergeCell ref="I4:J4"/>
    <mergeCell ref="C5:F5"/>
    <mergeCell ref="I5:J5"/>
    <mergeCell ref="C6:D6"/>
  </mergeCells>
  <conditionalFormatting sqref="B9:K1008">
    <cfRule type="expression" dxfId="6" priority="5">
      <formula>$N9="T"</formula>
    </cfRule>
  </conditionalFormatting>
  <conditionalFormatting sqref="L6">
    <cfRule type="expression" dxfId="5" priority="6">
      <formula>LEFT(L6,1)="✓"</formula>
    </cfRule>
    <cfRule type="expression" dxfId="4" priority="7">
      <formula>LEFT(L6,1)&lt;&gt;"✓"</formula>
    </cfRule>
  </conditionalFormatting>
  <conditionalFormatting sqref="L9:L1008">
    <cfRule type="expression" dxfId="3" priority="2">
      <formula>L9="Título de capítulo"</formula>
    </cfRule>
    <cfRule type="expression" dxfId="2" priority="3">
      <formula>AND(L9&lt;&gt;"",L9&lt;&gt;"✓ OK",L9&lt;&gt;"Título de capítulo")</formula>
    </cfRule>
    <cfRule type="expression" dxfId="1" priority="4">
      <formula>L9="✓ OK"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&amp;L&amp;7 Resumen elaborado por Conexdata&amp;R&amp;7 Página &amp;P de &amp;N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ErrorMessage="1" errorTitle="Unidad" error="No está en la lista (m2, ml, m3, un, gl…). ¿Querés usarla igual?" xr:uid="{00000000-0002-0000-0100-000000000000}">
          <x14:formula1>
            <xm:f>Listas!$A$2:$A$13</xm:f>
          </x14:formula1>
          <x14:formula2>
            <xm:f>0</xm:f>
          </x14:formula2>
          <xm:sqref>E9:E1008</xm:sqref>
        </x14:dataValidation>
        <x14:dataValidation type="list" errorStyle="warning" allowBlank="1" showErrorMessage="1" errorTitle="Capítulo" error="No está en la lista. ¿Querés usarlo igual?" xr:uid="{00000000-0002-0000-0100-000001000000}">
          <x14:formula1>
            <xm:f>Listas!$B$2:$B$16</xm:f>
          </x14:formula1>
          <x14:formula2>
            <xm:f>0</xm:f>
          </x14:formula2>
          <xm:sqref>C9:C1008</xm:sqref>
        </x14:dataValidation>
        <x14:dataValidation type="list" errorStyle="warning" allowBlank="1" showErrorMessage="1" errorTitle="Sector" error="No está en la lista. ¿Querés usarlo igual?" xr:uid="{00000000-0002-0000-0100-000002000000}">
          <x14:formula1>
            <xm:f>Listas!$C$2:$C$14</xm:f>
          </x14:formula1>
          <x14:formula2>
            <xm:f>0</xm:f>
          </x14:formula2>
          <xm:sqref>B9:B1008 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E45"/>
  <sheetViews>
    <sheetView zoomScaleNormal="100" workbookViewId="0"/>
  </sheetViews>
  <sheetFormatPr defaultColWidth="8.6796875" defaultRowHeight="14.75" x14ac:dyDescent="0.75"/>
  <cols>
    <col min="1" max="1" width="4" customWidth="1"/>
    <col min="2" max="2" width="38" customWidth="1"/>
    <col min="3" max="3" width="12" customWidth="1"/>
    <col min="4" max="4" width="20" customWidth="1"/>
    <col min="5" max="5" width="10" customWidth="1"/>
  </cols>
  <sheetData>
    <row r="1" spans="2:5" ht="18" x14ac:dyDescent="0.8">
      <c r="B1" s="2" t="s">
        <v>95</v>
      </c>
    </row>
    <row r="2" spans="2:5" x14ac:dyDescent="0.75">
      <c r="B2" s="3" t="str">
        <f>Presupuesto!C4&amp;"  ·  "&amp;Presupuesto!C5</f>
        <v>EDIFICIO ORQUÍDEAS  ·  Presupuesto 68 · Nivel 3</v>
      </c>
    </row>
    <row r="4" spans="2:5" x14ac:dyDescent="0.75">
      <c r="B4" s="31" t="s">
        <v>42</v>
      </c>
      <c r="C4" s="31" t="s">
        <v>32</v>
      </c>
      <c r="D4" s="31" t="s">
        <v>49</v>
      </c>
      <c r="E4" s="31" t="s">
        <v>96</v>
      </c>
    </row>
    <row r="5" spans="2:5" x14ac:dyDescent="0.75">
      <c r="B5" s="32" t="str">
        <f>IFERROR(INDEX(Presupuesto!$M$9:$M$1008,MATCH(1,Presupuesto!$O$9:$O$1008,0)),"")</f>
        <v>PRELIMINARES</v>
      </c>
      <c r="C5" s="33">
        <f>IF(B5="","",COUNTIF(Presupuesto!$M$9:$M$1008,B5))</f>
        <v>2</v>
      </c>
      <c r="D5" s="34">
        <f>IF(B5="","",SUMIF(Presupuesto!$M$9:$M$1008,B5,Presupuesto!$J$9:$J$1008))</f>
        <v>3431500</v>
      </c>
      <c r="E5" s="35">
        <f t="shared" ref="E5:E44" si="0">IF(OR(B5="",$D$45=0),"",D5/$D$45)</f>
        <v>1.4438885923785404E-2</v>
      </c>
    </row>
    <row r="6" spans="2:5" x14ac:dyDescent="0.75">
      <c r="B6" s="32" t="str">
        <f>IFERROR(INDEX(Presupuesto!$M$9:$M$1008,MATCH(2,Presupuesto!$O$9:$O$1008,0)),"")</f>
        <v>MAMPOSTERÍA</v>
      </c>
      <c r="C6" s="33">
        <f>IF(B6="","",COUNTIF(Presupuesto!$M$9:$M$1008,B6))</f>
        <v>5</v>
      </c>
      <c r="D6" s="34">
        <f>IF(B6="","",SUMIF(Presupuesto!$M$9:$M$1008,B6,Presupuesto!$J$9:$J$1008))</f>
        <v>30603850.827600002</v>
      </c>
      <c r="E6" s="35">
        <f t="shared" si="0"/>
        <v>0.12877328017725834</v>
      </c>
    </row>
    <row r="7" spans="2:5" x14ac:dyDescent="0.75">
      <c r="B7" s="32" t="str">
        <f>IFERROR(INDEX(Presupuesto!$M$9:$M$1008,MATCH(3,Presupuesto!$O$9:$O$1008,0)),"")</f>
        <v>REVOQUES</v>
      </c>
      <c r="C7" s="33">
        <f>IF(B7="","",COUNTIF(Presupuesto!$M$9:$M$1008,B7))</f>
        <v>17</v>
      </c>
      <c r="D7" s="34">
        <f>IF(B7="","",SUMIF(Presupuesto!$M$9:$M$1008,B7,Presupuesto!$J$9:$J$1008))</f>
        <v>172708138.51999998</v>
      </c>
      <c r="E7" s="35">
        <f t="shared" si="0"/>
        <v>0.7267122570886223</v>
      </c>
    </row>
    <row r="8" spans="2:5" x14ac:dyDescent="0.75">
      <c r="B8" s="32" t="str">
        <f>IFERROR(INDEX(Presupuesto!$M$9:$M$1008,MATCH(4,Presupuesto!$O$9:$O$1008,0)),"")</f>
        <v>CONTRAPISOS Y CARPETAS</v>
      </c>
      <c r="C8" s="33">
        <f>IF(B8="","",COUNTIF(Presupuesto!$M$9:$M$1008,B8))</f>
        <v>2</v>
      </c>
      <c r="D8" s="34">
        <f>IF(B8="","",SUMIF(Presupuesto!$M$9:$M$1008,B8,Presupuesto!$J$9:$J$1008))</f>
        <v>16877700</v>
      </c>
      <c r="E8" s="35">
        <f t="shared" si="0"/>
        <v>7.1017101837643273E-2</v>
      </c>
    </row>
    <row r="9" spans="2:5" x14ac:dyDescent="0.75">
      <c r="B9" s="32" t="str">
        <f>IFERROR(INDEX(Presupuesto!$M$9:$M$1008,MATCH(5,Presupuesto!$O$9:$O$1008,0)),"")</f>
        <v>AYUDA DE GREMIOS</v>
      </c>
      <c r="C9" s="33">
        <f>IF(B9="","",COUNTIF(Presupuesto!$M$9:$M$1008,B9))</f>
        <v>3</v>
      </c>
      <c r="D9" s="34">
        <f>IF(B9="","",SUMIF(Presupuesto!$M$9:$M$1008,B9,Presupuesto!$J$9:$J$1008))</f>
        <v>14035650.529999999</v>
      </c>
      <c r="E9" s="35">
        <f t="shared" si="0"/>
        <v>5.9058474972690699E-2</v>
      </c>
    </row>
    <row r="10" spans="2:5" x14ac:dyDescent="0.75">
      <c r="B10" s="32" t="str">
        <f>IFERROR(INDEX(Presupuesto!$M$9:$M$1008,MATCH(6,Presupuesto!$O$9:$O$1008,0)),"")</f>
        <v/>
      </c>
      <c r="C10" s="33" t="str">
        <f>IF(B10="","",COUNTIF(Presupuesto!$M$9:$M$1008,B10))</f>
        <v/>
      </c>
      <c r="D10" s="34" t="str">
        <f>IF(B10="","",SUMIF(Presupuesto!$M$9:$M$1008,B10,Presupuesto!$J$9:$J$1008))</f>
        <v/>
      </c>
      <c r="E10" s="35" t="str">
        <f t="shared" si="0"/>
        <v/>
      </c>
    </row>
    <row r="11" spans="2:5" x14ac:dyDescent="0.75">
      <c r="B11" s="32" t="str">
        <f>IFERROR(INDEX(Presupuesto!$M$9:$M$1008,MATCH(7,Presupuesto!$O$9:$O$1008,0)),"")</f>
        <v/>
      </c>
      <c r="C11" s="33" t="str">
        <f>IF(B11="","",COUNTIF(Presupuesto!$M$9:$M$1008,B11))</f>
        <v/>
      </c>
      <c r="D11" s="34" t="str">
        <f>IF(B11="","",SUMIF(Presupuesto!$M$9:$M$1008,B11,Presupuesto!$J$9:$J$1008))</f>
        <v/>
      </c>
      <c r="E11" s="35" t="str">
        <f t="shared" si="0"/>
        <v/>
      </c>
    </row>
    <row r="12" spans="2:5" x14ac:dyDescent="0.75">
      <c r="B12" s="32" t="str">
        <f>IFERROR(INDEX(Presupuesto!$M$9:$M$1008,MATCH(8,Presupuesto!$O$9:$O$1008,0)),"")</f>
        <v/>
      </c>
      <c r="C12" s="33" t="str">
        <f>IF(B12="","",COUNTIF(Presupuesto!$M$9:$M$1008,B12))</f>
        <v/>
      </c>
      <c r="D12" s="34" t="str">
        <f>IF(B12="","",SUMIF(Presupuesto!$M$9:$M$1008,B12,Presupuesto!$J$9:$J$1008))</f>
        <v/>
      </c>
      <c r="E12" s="35" t="str">
        <f t="shared" si="0"/>
        <v/>
      </c>
    </row>
    <row r="13" spans="2:5" x14ac:dyDescent="0.75">
      <c r="B13" s="32" t="str">
        <f>IFERROR(INDEX(Presupuesto!$M$9:$M$1008,MATCH(9,Presupuesto!$O$9:$O$1008,0)),"")</f>
        <v/>
      </c>
      <c r="C13" s="33" t="str">
        <f>IF(B13="","",COUNTIF(Presupuesto!$M$9:$M$1008,B13))</f>
        <v/>
      </c>
      <c r="D13" s="34" t="str">
        <f>IF(B13="","",SUMIF(Presupuesto!$M$9:$M$1008,B13,Presupuesto!$J$9:$J$1008))</f>
        <v/>
      </c>
      <c r="E13" s="35" t="str">
        <f t="shared" si="0"/>
        <v/>
      </c>
    </row>
    <row r="14" spans="2:5" x14ac:dyDescent="0.75">
      <c r="B14" s="32" t="str">
        <f>IFERROR(INDEX(Presupuesto!$M$9:$M$1008,MATCH(10,Presupuesto!$O$9:$O$1008,0)),"")</f>
        <v/>
      </c>
      <c r="C14" s="33" t="str">
        <f>IF(B14="","",COUNTIF(Presupuesto!$M$9:$M$1008,B14))</f>
        <v/>
      </c>
      <c r="D14" s="34" t="str">
        <f>IF(B14="","",SUMIF(Presupuesto!$M$9:$M$1008,B14,Presupuesto!$J$9:$J$1008))</f>
        <v/>
      </c>
      <c r="E14" s="35" t="str">
        <f t="shared" si="0"/>
        <v/>
      </c>
    </row>
    <row r="15" spans="2:5" x14ac:dyDescent="0.75">
      <c r="B15" s="32" t="str">
        <f>IFERROR(INDEX(Presupuesto!$M$9:$M$1008,MATCH(11,Presupuesto!$O$9:$O$1008,0)),"")</f>
        <v/>
      </c>
      <c r="C15" s="33" t="str">
        <f>IF(B15="","",COUNTIF(Presupuesto!$M$9:$M$1008,B15))</f>
        <v/>
      </c>
      <c r="D15" s="34" t="str">
        <f>IF(B15="","",SUMIF(Presupuesto!$M$9:$M$1008,B15,Presupuesto!$J$9:$J$1008))</f>
        <v/>
      </c>
      <c r="E15" s="35" t="str">
        <f t="shared" si="0"/>
        <v/>
      </c>
    </row>
    <row r="16" spans="2:5" x14ac:dyDescent="0.75">
      <c r="B16" s="32" t="str">
        <f>IFERROR(INDEX(Presupuesto!$M$9:$M$1008,MATCH(12,Presupuesto!$O$9:$O$1008,0)),"")</f>
        <v/>
      </c>
      <c r="C16" s="33" t="str">
        <f>IF(B16="","",COUNTIF(Presupuesto!$M$9:$M$1008,B16))</f>
        <v/>
      </c>
      <c r="D16" s="34" t="str">
        <f>IF(B16="","",SUMIF(Presupuesto!$M$9:$M$1008,B16,Presupuesto!$J$9:$J$1008))</f>
        <v/>
      </c>
      <c r="E16" s="35" t="str">
        <f t="shared" si="0"/>
        <v/>
      </c>
    </row>
    <row r="17" spans="2:5" x14ac:dyDescent="0.75">
      <c r="B17" s="32" t="str">
        <f>IFERROR(INDEX(Presupuesto!$M$9:$M$1008,MATCH(13,Presupuesto!$O$9:$O$1008,0)),"")</f>
        <v/>
      </c>
      <c r="C17" s="33" t="str">
        <f>IF(B17="","",COUNTIF(Presupuesto!$M$9:$M$1008,B17))</f>
        <v/>
      </c>
      <c r="D17" s="34" t="str">
        <f>IF(B17="","",SUMIF(Presupuesto!$M$9:$M$1008,B17,Presupuesto!$J$9:$J$1008))</f>
        <v/>
      </c>
      <c r="E17" s="35" t="str">
        <f t="shared" si="0"/>
        <v/>
      </c>
    </row>
    <row r="18" spans="2:5" x14ac:dyDescent="0.75">
      <c r="B18" s="32" t="str">
        <f>IFERROR(INDEX(Presupuesto!$M$9:$M$1008,MATCH(14,Presupuesto!$O$9:$O$1008,0)),"")</f>
        <v/>
      </c>
      <c r="C18" s="33" t="str">
        <f>IF(B18="","",COUNTIF(Presupuesto!$M$9:$M$1008,B18))</f>
        <v/>
      </c>
      <c r="D18" s="34" t="str">
        <f>IF(B18="","",SUMIF(Presupuesto!$M$9:$M$1008,B18,Presupuesto!$J$9:$J$1008))</f>
        <v/>
      </c>
      <c r="E18" s="35" t="str">
        <f t="shared" si="0"/>
        <v/>
      </c>
    </row>
    <row r="19" spans="2:5" x14ac:dyDescent="0.75">
      <c r="B19" s="32" t="str">
        <f>IFERROR(INDEX(Presupuesto!$M$9:$M$1008,MATCH(15,Presupuesto!$O$9:$O$1008,0)),"")</f>
        <v/>
      </c>
      <c r="C19" s="33" t="str">
        <f>IF(B19="","",COUNTIF(Presupuesto!$M$9:$M$1008,B19))</f>
        <v/>
      </c>
      <c r="D19" s="34" t="str">
        <f>IF(B19="","",SUMIF(Presupuesto!$M$9:$M$1008,B19,Presupuesto!$J$9:$J$1008))</f>
        <v/>
      </c>
      <c r="E19" s="35" t="str">
        <f t="shared" si="0"/>
        <v/>
      </c>
    </row>
    <row r="20" spans="2:5" x14ac:dyDescent="0.75">
      <c r="B20" s="32" t="str">
        <f>IFERROR(INDEX(Presupuesto!$M$9:$M$1008,MATCH(16,Presupuesto!$O$9:$O$1008,0)),"")</f>
        <v/>
      </c>
      <c r="C20" s="33" t="str">
        <f>IF(B20="","",COUNTIF(Presupuesto!$M$9:$M$1008,B20))</f>
        <v/>
      </c>
      <c r="D20" s="34" t="str">
        <f>IF(B20="","",SUMIF(Presupuesto!$M$9:$M$1008,B20,Presupuesto!$J$9:$J$1008))</f>
        <v/>
      </c>
      <c r="E20" s="35" t="str">
        <f t="shared" si="0"/>
        <v/>
      </c>
    </row>
    <row r="21" spans="2:5" x14ac:dyDescent="0.75">
      <c r="B21" s="32" t="str">
        <f>IFERROR(INDEX(Presupuesto!$M$9:$M$1008,MATCH(17,Presupuesto!$O$9:$O$1008,0)),"")</f>
        <v/>
      </c>
      <c r="C21" s="33" t="str">
        <f>IF(B21="","",COUNTIF(Presupuesto!$M$9:$M$1008,B21))</f>
        <v/>
      </c>
      <c r="D21" s="34" t="str">
        <f>IF(B21="","",SUMIF(Presupuesto!$M$9:$M$1008,B21,Presupuesto!$J$9:$J$1008))</f>
        <v/>
      </c>
      <c r="E21" s="35" t="str">
        <f t="shared" si="0"/>
        <v/>
      </c>
    </row>
    <row r="22" spans="2:5" x14ac:dyDescent="0.75">
      <c r="B22" s="32" t="str">
        <f>IFERROR(INDEX(Presupuesto!$M$9:$M$1008,MATCH(18,Presupuesto!$O$9:$O$1008,0)),"")</f>
        <v/>
      </c>
      <c r="C22" s="33" t="str">
        <f>IF(B22="","",COUNTIF(Presupuesto!$M$9:$M$1008,B22))</f>
        <v/>
      </c>
      <c r="D22" s="34" t="str">
        <f>IF(B22="","",SUMIF(Presupuesto!$M$9:$M$1008,B22,Presupuesto!$J$9:$J$1008))</f>
        <v/>
      </c>
      <c r="E22" s="35" t="str">
        <f t="shared" si="0"/>
        <v/>
      </c>
    </row>
    <row r="23" spans="2:5" x14ac:dyDescent="0.75">
      <c r="B23" s="32" t="str">
        <f>IFERROR(INDEX(Presupuesto!$M$9:$M$1008,MATCH(19,Presupuesto!$O$9:$O$1008,0)),"")</f>
        <v/>
      </c>
      <c r="C23" s="33" t="str">
        <f>IF(B23="","",COUNTIF(Presupuesto!$M$9:$M$1008,B23))</f>
        <v/>
      </c>
      <c r="D23" s="34" t="str">
        <f>IF(B23="","",SUMIF(Presupuesto!$M$9:$M$1008,B23,Presupuesto!$J$9:$J$1008))</f>
        <v/>
      </c>
      <c r="E23" s="35" t="str">
        <f t="shared" si="0"/>
        <v/>
      </c>
    </row>
    <row r="24" spans="2:5" x14ac:dyDescent="0.75">
      <c r="B24" s="32" t="str">
        <f>IFERROR(INDEX(Presupuesto!$M$9:$M$1008,MATCH(20,Presupuesto!$O$9:$O$1008,0)),"")</f>
        <v/>
      </c>
      <c r="C24" s="33" t="str">
        <f>IF(B24="","",COUNTIF(Presupuesto!$M$9:$M$1008,B24))</f>
        <v/>
      </c>
      <c r="D24" s="34" t="str">
        <f>IF(B24="","",SUMIF(Presupuesto!$M$9:$M$1008,B24,Presupuesto!$J$9:$J$1008))</f>
        <v/>
      </c>
      <c r="E24" s="35" t="str">
        <f t="shared" si="0"/>
        <v/>
      </c>
    </row>
    <row r="25" spans="2:5" x14ac:dyDescent="0.75">
      <c r="B25" s="32" t="str">
        <f>IFERROR(INDEX(Presupuesto!$M$9:$M$1008,MATCH(21,Presupuesto!$O$9:$O$1008,0)),"")</f>
        <v/>
      </c>
      <c r="C25" s="33" t="str">
        <f>IF(B25="","",COUNTIF(Presupuesto!$M$9:$M$1008,B25))</f>
        <v/>
      </c>
      <c r="D25" s="34" t="str">
        <f>IF(B25="","",SUMIF(Presupuesto!$M$9:$M$1008,B25,Presupuesto!$J$9:$J$1008))</f>
        <v/>
      </c>
      <c r="E25" s="35" t="str">
        <f t="shared" si="0"/>
        <v/>
      </c>
    </row>
    <row r="26" spans="2:5" x14ac:dyDescent="0.75">
      <c r="B26" s="32" t="str">
        <f>IFERROR(INDEX(Presupuesto!$M$9:$M$1008,MATCH(22,Presupuesto!$O$9:$O$1008,0)),"")</f>
        <v/>
      </c>
      <c r="C26" s="33" t="str">
        <f>IF(B26="","",COUNTIF(Presupuesto!$M$9:$M$1008,B26))</f>
        <v/>
      </c>
      <c r="D26" s="34" t="str">
        <f>IF(B26="","",SUMIF(Presupuesto!$M$9:$M$1008,B26,Presupuesto!$J$9:$J$1008))</f>
        <v/>
      </c>
      <c r="E26" s="35" t="str">
        <f t="shared" si="0"/>
        <v/>
      </c>
    </row>
    <row r="27" spans="2:5" x14ac:dyDescent="0.75">
      <c r="B27" s="32" t="str">
        <f>IFERROR(INDEX(Presupuesto!$M$9:$M$1008,MATCH(23,Presupuesto!$O$9:$O$1008,0)),"")</f>
        <v/>
      </c>
      <c r="C27" s="33" t="str">
        <f>IF(B27="","",COUNTIF(Presupuesto!$M$9:$M$1008,B27))</f>
        <v/>
      </c>
      <c r="D27" s="34" t="str">
        <f>IF(B27="","",SUMIF(Presupuesto!$M$9:$M$1008,B27,Presupuesto!$J$9:$J$1008))</f>
        <v/>
      </c>
      <c r="E27" s="35" t="str">
        <f t="shared" si="0"/>
        <v/>
      </c>
    </row>
    <row r="28" spans="2:5" x14ac:dyDescent="0.75">
      <c r="B28" s="32" t="str">
        <f>IFERROR(INDEX(Presupuesto!$M$9:$M$1008,MATCH(24,Presupuesto!$O$9:$O$1008,0)),"")</f>
        <v/>
      </c>
      <c r="C28" s="33" t="str">
        <f>IF(B28="","",COUNTIF(Presupuesto!$M$9:$M$1008,B28))</f>
        <v/>
      </c>
      <c r="D28" s="34" t="str">
        <f>IF(B28="","",SUMIF(Presupuesto!$M$9:$M$1008,B28,Presupuesto!$J$9:$J$1008))</f>
        <v/>
      </c>
      <c r="E28" s="35" t="str">
        <f t="shared" si="0"/>
        <v/>
      </c>
    </row>
    <row r="29" spans="2:5" x14ac:dyDescent="0.75">
      <c r="B29" s="32" t="str">
        <f>IFERROR(INDEX(Presupuesto!$M$9:$M$1008,MATCH(25,Presupuesto!$O$9:$O$1008,0)),"")</f>
        <v/>
      </c>
      <c r="C29" s="33" t="str">
        <f>IF(B29="","",COUNTIF(Presupuesto!$M$9:$M$1008,B29))</f>
        <v/>
      </c>
      <c r="D29" s="34" t="str">
        <f>IF(B29="","",SUMIF(Presupuesto!$M$9:$M$1008,B29,Presupuesto!$J$9:$J$1008))</f>
        <v/>
      </c>
      <c r="E29" s="35" t="str">
        <f t="shared" si="0"/>
        <v/>
      </c>
    </row>
    <row r="30" spans="2:5" x14ac:dyDescent="0.75">
      <c r="B30" s="32" t="str">
        <f>IFERROR(INDEX(Presupuesto!$M$9:$M$1008,MATCH(26,Presupuesto!$O$9:$O$1008,0)),"")</f>
        <v/>
      </c>
      <c r="C30" s="33" t="str">
        <f>IF(B30="","",COUNTIF(Presupuesto!$M$9:$M$1008,B30))</f>
        <v/>
      </c>
      <c r="D30" s="34" t="str">
        <f>IF(B30="","",SUMIF(Presupuesto!$M$9:$M$1008,B30,Presupuesto!$J$9:$J$1008))</f>
        <v/>
      </c>
      <c r="E30" s="35" t="str">
        <f t="shared" si="0"/>
        <v/>
      </c>
    </row>
    <row r="31" spans="2:5" x14ac:dyDescent="0.75">
      <c r="B31" s="32" t="str">
        <f>IFERROR(INDEX(Presupuesto!$M$9:$M$1008,MATCH(27,Presupuesto!$O$9:$O$1008,0)),"")</f>
        <v/>
      </c>
      <c r="C31" s="33" t="str">
        <f>IF(B31="","",COUNTIF(Presupuesto!$M$9:$M$1008,B31))</f>
        <v/>
      </c>
      <c r="D31" s="34" t="str">
        <f>IF(B31="","",SUMIF(Presupuesto!$M$9:$M$1008,B31,Presupuesto!$J$9:$J$1008))</f>
        <v/>
      </c>
      <c r="E31" s="35" t="str">
        <f t="shared" si="0"/>
        <v/>
      </c>
    </row>
    <row r="32" spans="2:5" x14ac:dyDescent="0.75">
      <c r="B32" s="32" t="str">
        <f>IFERROR(INDEX(Presupuesto!$M$9:$M$1008,MATCH(28,Presupuesto!$O$9:$O$1008,0)),"")</f>
        <v/>
      </c>
      <c r="C32" s="33" t="str">
        <f>IF(B32="","",COUNTIF(Presupuesto!$M$9:$M$1008,B32))</f>
        <v/>
      </c>
      <c r="D32" s="34" t="str">
        <f>IF(B32="","",SUMIF(Presupuesto!$M$9:$M$1008,B32,Presupuesto!$J$9:$J$1008))</f>
        <v/>
      </c>
      <c r="E32" s="35" t="str">
        <f t="shared" si="0"/>
        <v/>
      </c>
    </row>
    <row r="33" spans="2:5" x14ac:dyDescent="0.75">
      <c r="B33" s="32" t="str">
        <f>IFERROR(INDEX(Presupuesto!$M$9:$M$1008,MATCH(29,Presupuesto!$O$9:$O$1008,0)),"")</f>
        <v/>
      </c>
      <c r="C33" s="33" t="str">
        <f>IF(B33="","",COUNTIF(Presupuesto!$M$9:$M$1008,B33))</f>
        <v/>
      </c>
      <c r="D33" s="34" t="str">
        <f>IF(B33="","",SUMIF(Presupuesto!$M$9:$M$1008,B33,Presupuesto!$J$9:$J$1008))</f>
        <v/>
      </c>
      <c r="E33" s="35" t="str">
        <f t="shared" si="0"/>
        <v/>
      </c>
    </row>
    <row r="34" spans="2:5" x14ac:dyDescent="0.75">
      <c r="B34" s="32" t="str">
        <f>IFERROR(INDEX(Presupuesto!$M$9:$M$1008,MATCH(30,Presupuesto!$O$9:$O$1008,0)),"")</f>
        <v/>
      </c>
      <c r="C34" s="33" t="str">
        <f>IF(B34="","",COUNTIF(Presupuesto!$M$9:$M$1008,B34))</f>
        <v/>
      </c>
      <c r="D34" s="34" t="str">
        <f>IF(B34="","",SUMIF(Presupuesto!$M$9:$M$1008,B34,Presupuesto!$J$9:$J$1008))</f>
        <v/>
      </c>
      <c r="E34" s="35" t="str">
        <f t="shared" si="0"/>
        <v/>
      </c>
    </row>
    <row r="35" spans="2:5" x14ac:dyDescent="0.75">
      <c r="B35" s="32" t="str">
        <f>IFERROR(INDEX(Presupuesto!$M$9:$M$1008,MATCH(31,Presupuesto!$O$9:$O$1008,0)),"")</f>
        <v/>
      </c>
      <c r="C35" s="33" t="str">
        <f>IF(B35="","",COUNTIF(Presupuesto!$M$9:$M$1008,B35))</f>
        <v/>
      </c>
      <c r="D35" s="34" t="str">
        <f>IF(B35="","",SUMIF(Presupuesto!$M$9:$M$1008,B35,Presupuesto!$J$9:$J$1008))</f>
        <v/>
      </c>
      <c r="E35" s="35" t="str">
        <f t="shared" si="0"/>
        <v/>
      </c>
    </row>
    <row r="36" spans="2:5" x14ac:dyDescent="0.75">
      <c r="B36" s="32" t="str">
        <f>IFERROR(INDEX(Presupuesto!$M$9:$M$1008,MATCH(32,Presupuesto!$O$9:$O$1008,0)),"")</f>
        <v/>
      </c>
      <c r="C36" s="33" t="str">
        <f>IF(B36="","",COUNTIF(Presupuesto!$M$9:$M$1008,B36))</f>
        <v/>
      </c>
      <c r="D36" s="34" t="str">
        <f>IF(B36="","",SUMIF(Presupuesto!$M$9:$M$1008,B36,Presupuesto!$J$9:$J$1008))</f>
        <v/>
      </c>
      <c r="E36" s="35" t="str">
        <f t="shared" si="0"/>
        <v/>
      </c>
    </row>
    <row r="37" spans="2:5" x14ac:dyDescent="0.75">
      <c r="B37" s="32" t="str">
        <f>IFERROR(INDEX(Presupuesto!$M$9:$M$1008,MATCH(33,Presupuesto!$O$9:$O$1008,0)),"")</f>
        <v/>
      </c>
      <c r="C37" s="33" t="str">
        <f>IF(B37="","",COUNTIF(Presupuesto!$M$9:$M$1008,B37))</f>
        <v/>
      </c>
      <c r="D37" s="34" t="str">
        <f>IF(B37="","",SUMIF(Presupuesto!$M$9:$M$1008,B37,Presupuesto!$J$9:$J$1008))</f>
        <v/>
      </c>
      <c r="E37" s="35" t="str">
        <f t="shared" si="0"/>
        <v/>
      </c>
    </row>
    <row r="38" spans="2:5" x14ac:dyDescent="0.75">
      <c r="B38" s="32" t="str">
        <f>IFERROR(INDEX(Presupuesto!$M$9:$M$1008,MATCH(34,Presupuesto!$O$9:$O$1008,0)),"")</f>
        <v/>
      </c>
      <c r="C38" s="33" t="str">
        <f>IF(B38="","",COUNTIF(Presupuesto!$M$9:$M$1008,B38))</f>
        <v/>
      </c>
      <c r="D38" s="34" t="str">
        <f>IF(B38="","",SUMIF(Presupuesto!$M$9:$M$1008,B38,Presupuesto!$J$9:$J$1008))</f>
        <v/>
      </c>
      <c r="E38" s="35" t="str">
        <f t="shared" si="0"/>
        <v/>
      </c>
    </row>
    <row r="39" spans="2:5" x14ac:dyDescent="0.75">
      <c r="B39" s="32" t="str">
        <f>IFERROR(INDEX(Presupuesto!$M$9:$M$1008,MATCH(35,Presupuesto!$O$9:$O$1008,0)),"")</f>
        <v/>
      </c>
      <c r="C39" s="33" t="str">
        <f>IF(B39="","",COUNTIF(Presupuesto!$M$9:$M$1008,B39))</f>
        <v/>
      </c>
      <c r="D39" s="34" t="str">
        <f>IF(B39="","",SUMIF(Presupuesto!$M$9:$M$1008,B39,Presupuesto!$J$9:$J$1008))</f>
        <v/>
      </c>
      <c r="E39" s="35" t="str">
        <f t="shared" si="0"/>
        <v/>
      </c>
    </row>
    <row r="40" spans="2:5" x14ac:dyDescent="0.75">
      <c r="B40" s="32" t="str">
        <f>IFERROR(INDEX(Presupuesto!$M$9:$M$1008,MATCH(36,Presupuesto!$O$9:$O$1008,0)),"")</f>
        <v/>
      </c>
      <c r="C40" s="33" t="str">
        <f>IF(B40="","",COUNTIF(Presupuesto!$M$9:$M$1008,B40))</f>
        <v/>
      </c>
      <c r="D40" s="34" t="str">
        <f>IF(B40="","",SUMIF(Presupuesto!$M$9:$M$1008,B40,Presupuesto!$J$9:$J$1008))</f>
        <v/>
      </c>
      <c r="E40" s="35" t="str">
        <f t="shared" si="0"/>
        <v/>
      </c>
    </row>
    <row r="41" spans="2:5" x14ac:dyDescent="0.75">
      <c r="B41" s="32" t="str">
        <f>IFERROR(INDEX(Presupuesto!$M$9:$M$1008,MATCH(37,Presupuesto!$O$9:$O$1008,0)),"")</f>
        <v/>
      </c>
      <c r="C41" s="33" t="str">
        <f>IF(B41="","",COUNTIF(Presupuesto!$M$9:$M$1008,B41))</f>
        <v/>
      </c>
      <c r="D41" s="34" t="str">
        <f>IF(B41="","",SUMIF(Presupuesto!$M$9:$M$1008,B41,Presupuesto!$J$9:$J$1008))</f>
        <v/>
      </c>
      <c r="E41" s="35" t="str">
        <f t="shared" si="0"/>
        <v/>
      </c>
    </row>
    <row r="42" spans="2:5" x14ac:dyDescent="0.75">
      <c r="B42" s="32" t="str">
        <f>IFERROR(INDEX(Presupuesto!$M$9:$M$1008,MATCH(38,Presupuesto!$O$9:$O$1008,0)),"")</f>
        <v/>
      </c>
      <c r="C42" s="33" t="str">
        <f>IF(B42="","",COUNTIF(Presupuesto!$M$9:$M$1008,B42))</f>
        <v/>
      </c>
      <c r="D42" s="34" t="str">
        <f>IF(B42="","",SUMIF(Presupuesto!$M$9:$M$1008,B42,Presupuesto!$J$9:$J$1008))</f>
        <v/>
      </c>
      <c r="E42" s="35" t="str">
        <f t="shared" si="0"/>
        <v/>
      </c>
    </row>
    <row r="43" spans="2:5" x14ac:dyDescent="0.75">
      <c r="B43" s="32" t="str">
        <f>IFERROR(INDEX(Presupuesto!$M$9:$M$1008,MATCH(39,Presupuesto!$O$9:$O$1008,0)),"")</f>
        <v/>
      </c>
      <c r="C43" s="33" t="str">
        <f>IF(B43="","",COUNTIF(Presupuesto!$M$9:$M$1008,B43))</f>
        <v/>
      </c>
      <c r="D43" s="34" t="str">
        <f>IF(B43="","",SUMIF(Presupuesto!$M$9:$M$1008,B43,Presupuesto!$J$9:$J$1008))</f>
        <v/>
      </c>
      <c r="E43" s="35" t="str">
        <f t="shared" si="0"/>
        <v/>
      </c>
    </row>
    <row r="44" spans="2:5" x14ac:dyDescent="0.75">
      <c r="B44" s="32" t="str">
        <f>IFERROR(INDEX(Presupuesto!$M$9:$M$1008,MATCH(40,Presupuesto!$O$9:$O$1008,0)),"")</f>
        <v/>
      </c>
      <c r="C44" s="33" t="str">
        <f>IF(B44="","",COUNTIF(Presupuesto!$M$9:$M$1008,B44))</f>
        <v/>
      </c>
      <c r="D44" s="34" t="str">
        <f>IF(B44="","",SUMIF(Presupuesto!$M$9:$M$1008,B44,Presupuesto!$J$9:$J$1008))</f>
        <v/>
      </c>
      <c r="E44" s="35" t="str">
        <f t="shared" si="0"/>
        <v/>
      </c>
    </row>
    <row r="45" spans="2:5" x14ac:dyDescent="0.75">
      <c r="B45" s="36" t="s">
        <v>97</v>
      </c>
      <c r="C45" s="31">
        <f>Presupuesto!L5</f>
        <v>29</v>
      </c>
      <c r="D45" s="37">
        <f>Presupuesto!K5</f>
        <v>237656839.87759998</v>
      </c>
      <c r="E45" s="38">
        <f>IF(D45=0,0,1)</f>
        <v>1</v>
      </c>
    </row>
  </sheetData>
  <sheetProtection sheet="1"/>
  <conditionalFormatting sqref="B5:E44">
    <cfRule type="expression" dxfId="0" priority="2">
      <formula>$B5=""</formula>
    </cfRule>
  </conditionalFormatting>
  <pageMargins left="0.75" right="0.75" top="1" bottom="1" header="0.511811023622047" footer="0.5"/>
  <pageSetup orientation="portrait" horizontalDpi="300" verticalDpi="300"/>
  <headerFooter>
    <oddFooter>&amp;L&amp;7 Resumen elaborado por Conexdata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Normal="100" workbookViewId="0"/>
  </sheetViews>
  <sheetFormatPr defaultColWidth="8.6796875" defaultRowHeight="14.75" x14ac:dyDescent="0.75"/>
  <sheetData>
    <row r="1" spans="1:4" x14ac:dyDescent="0.75">
      <c r="A1" s="39" t="s">
        <v>98</v>
      </c>
      <c r="B1" s="39" t="s">
        <v>99</v>
      </c>
      <c r="C1" s="39" t="s">
        <v>100</v>
      </c>
      <c r="D1" s="39" t="s">
        <v>101</v>
      </c>
    </row>
    <row r="2" spans="1:4" x14ac:dyDescent="0.75">
      <c r="A2" t="s">
        <v>56</v>
      </c>
      <c r="B2" t="s">
        <v>54</v>
      </c>
      <c r="C2" t="s">
        <v>102</v>
      </c>
      <c r="D2" t="s">
        <v>103</v>
      </c>
    </row>
    <row r="3" spans="1:4" x14ac:dyDescent="0.75">
      <c r="A3" t="s">
        <v>61</v>
      </c>
      <c r="B3" t="s">
        <v>104</v>
      </c>
      <c r="C3" t="s">
        <v>105</v>
      </c>
      <c r="D3" t="s">
        <v>106</v>
      </c>
    </row>
    <row r="4" spans="1:4" x14ac:dyDescent="0.75">
      <c r="A4" t="s">
        <v>91</v>
      </c>
      <c r="B4" t="s">
        <v>58</v>
      </c>
      <c r="C4" t="s">
        <v>107</v>
      </c>
      <c r="D4" t="s">
        <v>108</v>
      </c>
    </row>
    <row r="5" spans="1:4" x14ac:dyDescent="0.75">
      <c r="A5" t="s">
        <v>63</v>
      </c>
      <c r="B5" t="s">
        <v>109</v>
      </c>
      <c r="C5" t="s">
        <v>110</v>
      </c>
      <c r="D5" t="s">
        <v>111</v>
      </c>
    </row>
    <row r="6" spans="1:4" x14ac:dyDescent="0.75">
      <c r="A6" t="s">
        <v>65</v>
      </c>
      <c r="B6" t="s">
        <v>67</v>
      </c>
      <c r="C6" t="s">
        <v>38</v>
      </c>
      <c r="D6" t="s">
        <v>112</v>
      </c>
    </row>
    <row r="7" spans="1:4" x14ac:dyDescent="0.75">
      <c r="A7" t="s">
        <v>83</v>
      </c>
      <c r="B7" t="s">
        <v>86</v>
      </c>
      <c r="C7" t="s">
        <v>113</v>
      </c>
      <c r="D7" t="s">
        <v>114</v>
      </c>
    </row>
    <row r="8" spans="1:4" x14ac:dyDescent="0.75">
      <c r="A8" t="s">
        <v>115</v>
      </c>
      <c r="B8" t="s">
        <v>116</v>
      </c>
      <c r="C8" t="s">
        <v>117</v>
      </c>
      <c r="D8" t="s">
        <v>118</v>
      </c>
    </row>
    <row r="9" spans="1:4" x14ac:dyDescent="0.75">
      <c r="A9" t="s">
        <v>93</v>
      </c>
      <c r="B9" t="s">
        <v>119</v>
      </c>
      <c r="C9" t="s">
        <v>120</v>
      </c>
      <c r="D9" t="s">
        <v>121</v>
      </c>
    </row>
    <row r="10" spans="1:4" x14ac:dyDescent="0.75">
      <c r="A10" t="s">
        <v>122</v>
      </c>
      <c r="B10" t="s">
        <v>123</v>
      </c>
      <c r="C10" t="s">
        <v>124</v>
      </c>
      <c r="D10" t="s">
        <v>125</v>
      </c>
    </row>
    <row r="11" spans="1:4" x14ac:dyDescent="0.75">
      <c r="A11" t="s">
        <v>126</v>
      </c>
      <c r="B11" t="s">
        <v>127</v>
      </c>
      <c r="C11" t="s">
        <v>128</v>
      </c>
      <c r="D11" t="s">
        <v>129</v>
      </c>
    </row>
    <row r="12" spans="1:4" x14ac:dyDescent="0.75">
      <c r="A12" t="s">
        <v>130</v>
      </c>
      <c r="B12" t="s">
        <v>131</v>
      </c>
      <c r="C12" t="s">
        <v>132</v>
      </c>
      <c r="D12" t="s">
        <v>133</v>
      </c>
    </row>
    <row r="13" spans="1:4" x14ac:dyDescent="0.75">
      <c r="A13" t="s">
        <v>134</v>
      </c>
      <c r="B13" t="s">
        <v>135</v>
      </c>
      <c r="C13" t="s">
        <v>136</v>
      </c>
      <c r="D13" t="s">
        <v>137</v>
      </c>
    </row>
    <row r="14" spans="1:4" x14ac:dyDescent="0.75">
      <c r="B14" t="s">
        <v>138</v>
      </c>
      <c r="C14" t="s">
        <v>139</v>
      </c>
      <c r="D14" t="s">
        <v>140</v>
      </c>
    </row>
    <row r="15" spans="1:4" x14ac:dyDescent="0.75">
      <c r="B15" t="s">
        <v>89</v>
      </c>
      <c r="D15" t="s">
        <v>141</v>
      </c>
    </row>
    <row r="16" spans="1:4" x14ac:dyDescent="0.75">
      <c r="B16" t="s">
        <v>142</v>
      </c>
      <c r="D16" t="s">
        <v>143</v>
      </c>
    </row>
    <row r="17" spans="4:4" x14ac:dyDescent="0.75">
      <c r="D17" t="s">
        <v>144</v>
      </c>
    </row>
    <row r="18" spans="4:4" x14ac:dyDescent="0.75">
      <c r="D18" t="s">
        <v>145</v>
      </c>
    </row>
    <row r="19" spans="4:4" x14ac:dyDescent="0.75">
      <c r="D19" t="s">
        <v>146</v>
      </c>
    </row>
    <row r="20" spans="4:4" x14ac:dyDescent="0.75">
      <c r="D20" t="s">
        <v>147</v>
      </c>
    </row>
    <row r="21" spans="4:4" x14ac:dyDescent="0.75">
      <c r="D21" t="s">
        <v>148</v>
      </c>
    </row>
    <row r="22" spans="4:4" x14ac:dyDescent="0.75">
      <c r="D22" t="s">
        <v>149</v>
      </c>
    </row>
    <row r="23" spans="4:4" x14ac:dyDescent="0.75">
      <c r="D23" t="s">
        <v>150</v>
      </c>
    </row>
    <row r="24" spans="4:4" x14ac:dyDescent="0.75">
      <c r="D24" t="s">
        <v>151</v>
      </c>
    </row>
    <row r="25" spans="4:4" x14ac:dyDescent="0.75">
      <c r="D25" t="s">
        <v>152</v>
      </c>
    </row>
    <row r="26" spans="4:4" x14ac:dyDescent="0.75">
      <c r="D26" t="s">
        <v>153</v>
      </c>
    </row>
    <row r="27" spans="4:4" x14ac:dyDescent="0.75">
      <c r="D27" t="s">
        <v>154</v>
      </c>
    </row>
    <row r="28" spans="4:4" x14ac:dyDescent="0.75">
      <c r="D28" t="s">
        <v>155</v>
      </c>
    </row>
    <row r="29" spans="4:4" x14ac:dyDescent="0.75">
      <c r="D29" t="s">
        <v>156</v>
      </c>
    </row>
    <row r="30" spans="4:4" x14ac:dyDescent="0.75">
      <c r="D30" t="s">
        <v>157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Cómo completar</vt:lpstr>
      <vt:lpstr>Presupuesto</vt:lpstr>
      <vt:lpstr>Resumen</vt:lpstr>
      <vt:lpstr>Listas</vt:lpstr>
      <vt:lpstr>Presupuesto!Print_Area</vt:lpstr>
      <vt:lpstr>Presupuesto!Print_Titles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Desarrollo</cp:lastModifiedBy>
  <cp:revision>0</cp:revision>
  <dcterms:created xsi:type="dcterms:W3CDTF">2026-10-07T19:32:38Z</dcterms:created>
  <dcterms:modified xsi:type="dcterms:W3CDTF">2026-10-08T00:45:55Z</dcterms:modified>
  <dc:language>en-US</dc:language>
</cp:coreProperties>
</file>